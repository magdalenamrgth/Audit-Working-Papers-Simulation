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280"/>
  </bookViews>
  <sheets>
    <sheet name="Kertas Kerja Kas &amp; Bank" sheetId="1" r:id="rId1"/>
    <sheet name="Rincian Pemeriksaan Kas" sheetId="2" r:id="rId2"/>
    <sheet name="BAP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<sst xmlns="http://schemas.openxmlformats.org/spreadsheetml/2006/main" count="193" uniqueCount="102">
  <si>
    <t>Nama Perusahaan</t>
  </si>
  <si>
    <t>: PT Citra Nommensen</t>
  </si>
  <si>
    <t>No. KKP</t>
  </si>
  <si>
    <t>: IX, 1-1, 1-2, 1, 2</t>
  </si>
  <si>
    <t>Item</t>
  </si>
  <si>
    <t>: Ikhtisar Mutasi Kas dan Bank</t>
  </si>
  <si>
    <t>Disiapkan</t>
  </si>
  <si>
    <t>:</t>
  </si>
  <si>
    <t>Tanggal Periode</t>
  </si>
  <si>
    <t>: 31 Desember 19X1</t>
  </si>
  <si>
    <t>Direview</t>
  </si>
  <si>
    <t>Waktu</t>
  </si>
  <si>
    <t>Keterangan</t>
  </si>
  <si>
    <t>Kas</t>
  </si>
  <si>
    <t>Bank</t>
  </si>
  <si>
    <t>Bulan</t>
  </si>
  <si>
    <t>Tgl</t>
  </si>
  <si>
    <t>Debet</t>
  </si>
  <si>
    <t>Kredit</t>
  </si>
  <si>
    <t>Saldo</t>
  </si>
  <si>
    <t>Januari</t>
  </si>
  <si>
    <t>Saldo Awal</t>
  </si>
  <si>
    <t>√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</si>
  <si>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</si>
  <si>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</si>
  <si>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</si>
  <si>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</si>
  <si>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</si>
  <si>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</si>
  <si>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</si>
  <si>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</si>
  <si>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</si>
  <si>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Nopember</t>
  </si>
  <si>
    <t>Desember</t>
  </si>
  <si>
    <t>Saldo Akhir</t>
  </si>
  <si>
    <t>Total</t>
  </si>
  <si>
    <t>Adj 1</t>
  </si>
  <si>
    <t>O</t>
  </si>
  <si>
    <t>Total Saldo Audit Kas</t>
  </si>
  <si>
    <t>Beban lain-lain</t>
  </si>
  <si>
    <t>Keterangan Legenda Audit:</t>
  </si>
  <si>
    <t>verifikasi</t>
  </si>
  <si>
    <t>memastikan telah benar atau telah sesuai dengan buku besar atau buku pembantu</t>
  </si>
  <si>
    <t>footing</t>
  </si>
  <si>
    <t>penjumlahan dari atas ke bawah</t>
  </si>
  <si>
    <t>vouching</t>
  </si>
  <si>
    <t>menelusuri kebenaran data dari laporan ke dokumen</t>
  </si>
  <si>
    <t>observasi</t>
  </si>
  <si>
    <t>melakukan pemeriksaan langsung atau pemeriksaan fisik</t>
  </si>
  <si>
    <t>PERINCIAN HASIL PEMERIKSAAN KAS</t>
  </si>
  <si>
    <t>PER 31 DESEMBER 19X1</t>
  </si>
  <si>
    <t>IX, 1-1, 5</t>
  </si>
  <si>
    <t>I</t>
  </si>
  <si>
    <t>Saldo Kas pada saat pemeriksaan (31 Maret 2026)</t>
  </si>
  <si>
    <t>Terdiri dari:</t>
  </si>
  <si>
    <t>1.</t>
  </si>
  <si>
    <t>Uang Kertas</t>
  </si>
  <si>
    <t>Lembar</t>
  </si>
  <si>
    <t>-</t>
  </si>
  <si>
    <t>2.</t>
  </si>
  <si>
    <t>Uang Logam</t>
  </si>
  <si>
    <t>Keping</t>
  </si>
  <si>
    <t>3.</t>
  </si>
  <si>
    <t>Kertas-kertas berharga:</t>
  </si>
  <si>
    <t>Jumlah Seluruhnya</t>
  </si>
  <si>
    <t>II.</t>
  </si>
  <si>
    <t>Saldo Kas menurut Buku Kas pada Saat Pemeriksaan</t>
  </si>
  <si>
    <t>(Lima juta empat ratus sembilan puluh juta rupiah)</t>
  </si>
  <si>
    <r>
      <t xml:space="preserve">Perbedaan </t>
    </r>
    <r>
      <rPr>
        <b/>
        <strike/>
        <sz val="10"/>
        <color rgb="FF000000"/>
        <rFont val="Times New Roman"/>
        <charset val="134"/>
      </rPr>
      <t>Positip</t>
    </r>
    <r>
      <rPr>
        <sz val="10"/>
        <color rgb="FF000000"/>
        <rFont val="Times New Roman"/>
        <charset val="134"/>
      </rPr>
      <t>/Negatif</t>
    </r>
  </si>
  <si>
    <t>Negatif</t>
  </si>
  <si>
    <t>III.</t>
  </si>
  <si>
    <t>Penjelasan Perbedaan</t>
  </si>
  <si>
    <t>Keterbatasan Uang Kecil</t>
  </si>
  <si>
    <t>Pemegang Kas</t>
  </si>
  <si>
    <t>Pemeriksa</t>
  </si>
  <si>
    <t>Nama</t>
  </si>
  <si>
    <t>: Anita</t>
  </si>
  <si>
    <t>: Magdalena Margaretha Ingrid Sihombing</t>
  </si>
  <si>
    <t>Jabatan</t>
  </si>
  <si>
    <t>: Auditor Junior</t>
  </si>
  <si>
    <t>Tanda Tangan</t>
  </si>
  <si>
    <t xml:space="preserve">: </t>
  </si>
  <si>
    <t>Cap</t>
  </si>
  <si>
    <t>BERITA ACARA PEMERIKSAAN KAS</t>
  </si>
  <si>
    <t>IX,1-1,6</t>
  </si>
  <si>
    <t>Pada hari ini Selasa tanggal 31 Maret 2026 jam 11.48 yang bertanda tangan dibawah ini kami:</t>
  </si>
  <si>
    <t>Nama Lengkap</t>
  </si>
  <si>
    <t>Sesuai dengan surat tugas nomor : 001/SP/III/2026, tanggal 24 Maret 2026 telah melakukan pemeriksaan kas yang dikuasai oleh:</t>
  </si>
  <si>
    <t>: Kasir</t>
  </si>
  <si>
    <t>Pada</t>
  </si>
  <si>
    <t>: PT. Citra Nommensen</t>
  </si>
  <si>
    <t>Berdasarkan hasil pemeriksaan kas serta bukti-bukti yang berada dalam pengurusannya, kami menemui kenyataan sebagai berikut:</t>
  </si>
  <si>
    <t>a.</t>
  </si>
  <si>
    <t>Uang kertas dan Uang logam</t>
  </si>
  <si>
    <t>b.</t>
  </si>
  <si>
    <t>Surat Berharga yang diizinkan</t>
  </si>
  <si>
    <t>Jumlah</t>
  </si>
  <si>
    <t>Saldo menurut Buku Kas per tanggal</t>
  </si>
  <si>
    <t>pemeriksaan</t>
  </si>
  <si>
    <t>31 Desember 19X1</t>
  </si>
  <si>
    <r>
      <t xml:space="preserve">Perbedaan </t>
    </r>
    <r>
      <rPr>
        <b/>
        <strike/>
        <sz val="10"/>
        <color rgb="FF000000"/>
        <rFont val="Times New Roman"/>
        <charset val="134"/>
      </rPr>
      <t>positip</t>
    </r>
    <r>
      <rPr>
        <sz val="10"/>
        <color rgb="FF000000"/>
        <rFont val="Times New Roman"/>
        <charset val="134"/>
      </rPr>
      <t>/negatip antara</t>
    </r>
  </si>
  <si>
    <t>saldo kas dan saldo buku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</si>
</sst>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#,##0_ "/>
    <numFmt numFmtId="181" formatCode="#,##0.00;\(#,##0.00\)"/>
    <numFmt numFmtId="182" formatCode="#,##0_);\(#,##0\)"/>
    <numFmt numFmtId="183" formatCode="#,##0;\(#,##0\);&quot;-&quot;"/>
  </numFmts>
  <fonts count="34">
    <font>
      <sz val="10"/>
      <color rgb="FF000000"/>
      <name val="Arial"/>
      <charset val="134"/>
      <scheme val="minor"/>
    </font>
    <font>
      <sz val="10"/>
      <color rgb="FF000000"/>
      <name val="Times New Roman"/>
      <charset val="134"/>
    </font>
    <font>
      <b/>
      <sz val="10"/>
      <color rgb="FF000000"/>
      <name val="Times New Roman"/>
      <charset val="134"/>
    </font>
    <font>
      <b/>
      <sz val="10"/>
      <color theme="1"/>
      <name val="Arial"/>
      <charset val="134"/>
      <scheme val="minor"/>
    </font>
    <font>
      <sz val="10"/>
      <name val="Arial"/>
      <charset val="134"/>
      <scheme val="minor"/>
    </font>
    <font>
      <sz val="10"/>
      <color theme="1"/>
      <name val="Arial"/>
      <charset val="134"/>
      <scheme val="minor"/>
    </font>
    <font>
      <b/>
      <sz val="14"/>
      <color rgb="FF000000"/>
      <name val="Arial"/>
      <charset val="134"/>
    </font>
    <font>
      <b/>
      <sz val="12"/>
      <color theme="1"/>
      <name val="Times New Roman"/>
      <charset val="134"/>
    </font>
    <font>
      <b/>
      <sz val="12"/>
      <color rgb="FF000000"/>
      <name val="Times New Roman"/>
      <charset val="134"/>
    </font>
    <font>
      <sz val="12"/>
      <color rgb="FF000000"/>
      <name val="Times New Roman"/>
      <charset val="134"/>
    </font>
    <font>
      <b/>
      <sz val="14"/>
      <color rgb="FF000000"/>
      <name val="Arial"/>
      <charset val="134"/>
      <scheme val="major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b/>
      <strike/>
      <sz val="10"/>
      <color rgb="FF000000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78" fontId="13" fillId="0" borderId="0" applyFont="0" applyFill="0" applyBorder="0" applyAlignment="0" applyProtection="0">
      <alignment vertical="center"/>
    </xf>
    <xf numFmtId="179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3" borderId="23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20" fillId="0" borderId="24" applyNumberFormat="0" applyFill="0" applyAlignment="0" applyProtection="0">
      <alignment vertical="center"/>
    </xf>
    <xf numFmtId="0" fontId="21" fillId="0" borderId="2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26" applyNumberFormat="0" applyAlignment="0" applyProtection="0">
      <alignment vertical="center"/>
    </xf>
    <xf numFmtId="0" fontId="23" fillId="5" borderId="27" applyNumberFormat="0" applyAlignment="0" applyProtection="0">
      <alignment vertical="center"/>
    </xf>
    <xf numFmtId="0" fontId="24" fillId="5" borderId="26" applyNumberFormat="0" applyAlignment="0" applyProtection="0">
      <alignment vertical="center"/>
    </xf>
    <xf numFmtId="0" fontId="25" fillId="6" borderId="28" applyNumberFormat="0" applyAlignment="0" applyProtection="0">
      <alignment vertical="center"/>
    </xf>
    <xf numFmtId="0" fontId="26" fillId="0" borderId="29" applyNumberFormat="0" applyFill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</cellStyleXfs>
  <cellXfs count="110">
    <xf numFmtId="0" fontId="0" fillId="0" borderId="0" xfId="0" applyFont="1" applyAlignment="1"/>
    <xf numFmtId="0" fontId="1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/>
    <xf numFmtId="0" fontId="1" fillId="0" borderId="2" xfId="0" applyFont="1" applyBorder="1" applyAlignment="1"/>
    <xf numFmtId="0" fontId="1" fillId="0" borderId="5" xfId="0" applyFont="1" applyBorder="1" applyAlignment="1"/>
    <xf numFmtId="3" fontId="1" fillId="0" borderId="0" xfId="0" applyNumberFormat="1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180" fontId="1" fillId="0" borderId="0" xfId="0" applyNumberFormat="1" applyFont="1" applyAlignment="1"/>
    <xf numFmtId="0" fontId="1" fillId="0" borderId="6" xfId="0" applyFont="1" applyBorder="1" applyAlignment="1"/>
    <xf numFmtId="0" fontId="1" fillId="0" borderId="7" xfId="0" applyFont="1" applyBorder="1" applyAlignment="1"/>
    <xf numFmtId="0" fontId="1" fillId="0" borderId="8" xfId="0" applyFont="1" applyBorder="1" applyAlignment="1"/>
    <xf numFmtId="0" fontId="1" fillId="0" borderId="9" xfId="0" applyFont="1" applyBorder="1" applyAlignment="1"/>
    <xf numFmtId="0" fontId="1" fillId="0" borderId="10" xfId="0" applyFont="1" applyBorder="1" applyAlignment="1"/>
    <xf numFmtId="0" fontId="1" fillId="0" borderId="3" xfId="0" applyFont="1" applyBorder="1" applyAlignment="1"/>
    <xf numFmtId="0" fontId="1" fillId="0" borderId="4" xfId="0" applyFont="1" applyBorder="1" applyAlignment="1"/>
    <xf numFmtId="0" fontId="1" fillId="0" borderId="11" xfId="0" applyFont="1" applyBorder="1" applyAlignment="1"/>
    <xf numFmtId="0" fontId="1" fillId="0" borderId="8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/>
    <xf numFmtId="0" fontId="1" fillId="0" borderId="13" xfId="0" applyFont="1" applyBorder="1" applyAlignment="1"/>
    <xf numFmtId="3" fontId="1" fillId="0" borderId="0" xfId="0" applyNumberFormat="1" applyFont="1" applyAlignment="1">
      <alignment horizontal="right"/>
    </xf>
    <xf numFmtId="0" fontId="1" fillId="0" borderId="0" xfId="0" applyFont="1" applyBorder="1" applyAlignment="1"/>
    <xf numFmtId="0" fontId="1" fillId="0" borderId="0" xfId="0" applyFont="1" applyBorder="1" applyAlignment="1"/>
    <xf numFmtId="0" fontId="1" fillId="0" borderId="0" xfId="0" applyNumberFormat="1" applyFont="1" applyAlignment="1"/>
    <xf numFmtId="0" fontId="1" fillId="0" borderId="0" xfId="0" applyFont="1" applyBorder="1" applyAlignment="1"/>
    <xf numFmtId="0" fontId="1" fillId="0" borderId="14" xfId="0" applyFont="1" applyBorder="1" applyAlignment="1"/>
    <xf numFmtId="3" fontId="1" fillId="0" borderId="2" xfId="0" applyNumberFormat="1" applyFont="1" applyBorder="1" applyAlignment="1"/>
    <xf numFmtId="180" fontId="1" fillId="0" borderId="8" xfId="0" applyNumberFormat="1" applyFont="1" applyBorder="1" applyAlignment="1"/>
    <xf numFmtId="0" fontId="1" fillId="0" borderId="0" xfId="0" applyFont="1" applyAlignment="1">
      <alignment horizontal="right" vertical="center"/>
    </xf>
    <xf numFmtId="3" fontId="1" fillId="0" borderId="2" xfId="0" applyNumberFormat="1" applyFont="1" applyBorder="1" applyAlignment="1"/>
    <xf numFmtId="0" fontId="1" fillId="0" borderId="0" xfId="0" applyFont="1" applyBorder="1" applyAlignment="1">
      <alignment horizontal="right" vertical="center"/>
    </xf>
    <xf numFmtId="3" fontId="1" fillId="0" borderId="2" xfId="0" applyNumberFormat="1" applyFont="1" applyBorder="1" applyAlignment="1"/>
    <xf numFmtId="3" fontId="1" fillId="0" borderId="0" xfId="0" applyNumberFormat="1" applyFont="1" applyBorder="1" applyAlignment="1"/>
    <xf numFmtId="0" fontId="3" fillId="0" borderId="1" xfId="0" applyFont="1" applyBorder="1" applyAlignment="1"/>
    <xf numFmtId="0" fontId="3" fillId="0" borderId="2" xfId="0" applyFont="1" applyBorder="1" applyAlignment="1"/>
    <xf numFmtId="0" fontId="3" fillId="0" borderId="2" xfId="0" applyFont="1" applyBorder="1"/>
    <xf numFmtId="0" fontId="3" fillId="0" borderId="8" xfId="0" applyFont="1" applyBorder="1"/>
    <xf numFmtId="0" fontId="3" fillId="0" borderId="5" xfId="0" applyFont="1" applyBorder="1" applyAlignment="1"/>
    <xf numFmtId="0" fontId="3" fillId="0" borderId="0" xfId="0" applyFont="1" applyAlignment="1"/>
    <xf numFmtId="0" fontId="3" fillId="0" borderId="0" xfId="0" applyFont="1"/>
    <xf numFmtId="0" fontId="3" fillId="0" borderId="10" xfId="0" applyFont="1" applyBorder="1"/>
    <xf numFmtId="0" fontId="3" fillId="0" borderId="3" xfId="0" applyFont="1" applyBorder="1" applyAlignment="1"/>
    <xf numFmtId="0" fontId="3" fillId="0" borderId="4" xfId="0" applyFont="1" applyBorder="1" applyAlignment="1"/>
    <xf numFmtId="0" fontId="3" fillId="0" borderId="4" xfId="0" applyFont="1" applyBorder="1"/>
    <xf numFmtId="0" fontId="3" fillId="0" borderId="11" xfId="0" applyFont="1" applyBorder="1"/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18" xfId="0" applyFont="1" applyBorder="1"/>
    <xf numFmtId="0" fontId="4" fillId="0" borderId="19" xfId="0" applyFont="1" applyBorder="1"/>
    <xf numFmtId="0" fontId="4" fillId="0" borderId="20" xfId="0" applyFont="1" applyBorder="1"/>
    <xf numFmtId="0" fontId="5" fillId="0" borderId="16" xfId="0" applyFont="1" applyBorder="1" applyAlignment="1">
      <alignment horizontal="center"/>
    </xf>
    <xf numFmtId="0" fontId="5" fillId="0" borderId="15" xfId="0" applyFont="1" applyBorder="1" applyAlignment="1"/>
    <xf numFmtId="0" fontId="3" fillId="0" borderId="15" xfId="0" applyFont="1" applyBorder="1" applyAlignment="1"/>
    <xf numFmtId="181" fontId="5" fillId="0" borderId="15" xfId="0" applyNumberFormat="1" applyFont="1" applyBorder="1" applyAlignment="1">
      <alignment horizontal="right"/>
    </xf>
    <xf numFmtId="181" fontId="5" fillId="0" borderId="15" xfId="0" applyNumberFormat="1" applyFont="1" applyBorder="1"/>
    <xf numFmtId="180" fontId="5" fillId="0" borderId="15" xfId="0" applyNumberFormat="1" applyFont="1" applyBorder="1" applyAlignment="1">
      <alignment horizontal="center"/>
    </xf>
    <xf numFmtId="0" fontId="5" fillId="0" borderId="15" xfId="0" applyFont="1" applyBorder="1"/>
    <xf numFmtId="182" fontId="5" fillId="0" borderId="15" xfId="0" applyNumberFormat="1" applyFont="1" applyBorder="1" applyAlignment="1">
      <alignment horizontal="right"/>
    </xf>
    <xf numFmtId="181" fontId="5" fillId="0" borderId="15" xfId="0" applyNumberFormat="1" applyFont="1" applyBorder="1" applyAlignment="1"/>
    <xf numFmtId="182" fontId="5" fillId="0" borderId="15" xfId="0" applyNumberFormat="1" applyFont="1" applyBorder="1" applyAlignment="1"/>
    <xf numFmtId="180" fontId="5" fillId="0" borderId="15" xfId="0" applyNumberFormat="1" applyFont="1" applyBorder="1" applyAlignment="1">
      <alignment horizontal="right"/>
    </xf>
    <xf numFmtId="181" fontId="3" fillId="0" borderId="15" xfId="0" applyNumberFormat="1" applyFont="1" applyBorder="1"/>
    <xf numFmtId="0" fontId="0" fillId="0" borderId="21" xfId="0" applyFont="1" applyBorder="1" applyAlignment="1"/>
    <xf numFmtId="3" fontId="0" fillId="0" borderId="21" xfId="0" applyNumberFormat="1" applyFont="1" applyBorder="1" applyAlignment="1"/>
    <xf numFmtId="0" fontId="6" fillId="0" borderId="21" xfId="0" applyFont="1" applyBorder="1" applyAlignment="1">
      <alignment horizontal="center" vertical="center"/>
    </xf>
    <xf numFmtId="0" fontId="7" fillId="0" borderId="9" xfId="0" applyFont="1" applyBorder="1" applyAlignment="1"/>
    <xf numFmtId="0" fontId="8" fillId="0" borderId="9" xfId="0" applyFont="1" applyBorder="1" applyAlignment="1"/>
    <xf numFmtId="0" fontId="9" fillId="0" borderId="9" xfId="0" applyFont="1" applyBorder="1" applyAlignment="1"/>
    <xf numFmtId="182" fontId="9" fillId="0" borderId="9" xfId="0" applyNumberFormat="1" applyFont="1" applyBorder="1" applyAlignment="1"/>
    <xf numFmtId="180" fontId="9" fillId="0" borderId="9" xfId="0" applyNumberFormat="1" applyFont="1" applyBorder="1" applyAlignment="1"/>
    <xf numFmtId="0" fontId="9" fillId="0" borderId="0" xfId="0" applyFont="1" applyAlignment="1">
      <alignment horizontal="left" vertical="top"/>
    </xf>
    <xf numFmtId="0" fontId="8" fillId="0" borderId="0" xfId="0" applyFont="1" applyAlignment="1">
      <alignment horizontal="lef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2" fillId="2" borderId="0" xfId="0" applyFont="1" applyFill="1" applyAlignment="1"/>
    <xf numFmtId="0" fontId="7" fillId="0" borderId="0" xfId="0" applyFont="1" applyBorder="1" applyAlignment="1"/>
    <xf numFmtId="0" fontId="8" fillId="0" borderId="0" xfId="0" applyFont="1" applyBorder="1" applyAlignment="1"/>
    <xf numFmtId="0" fontId="9" fillId="0" borderId="0" xfId="0" applyFont="1" applyBorder="1" applyAlignment="1"/>
    <xf numFmtId="0" fontId="9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left"/>
    </xf>
    <xf numFmtId="0" fontId="9" fillId="0" borderId="0" xfId="0" applyFont="1" applyBorder="1" applyAlignment="1">
      <alignment horizontal="center"/>
    </xf>
    <xf numFmtId="0" fontId="10" fillId="0" borderId="0" xfId="0" applyFont="1" applyBorder="1" applyAlignment="1">
      <alignment horizontal="center" vertical="center"/>
    </xf>
    <xf numFmtId="0" fontId="11" fillId="0" borderId="0" xfId="0" applyFont="1" applyAlignment="1"/>
    <xf numFmtId="0" fontId="12" fillId="0" borderId="0" xfId="0" applyFont="1" applyBorder="1" applyAlignment="1"/>
    <xf numFmtId="0" fontId="0" fillId="0" borderId="0" xfId="0" applyFont="1" applyBorder="1" applyAlignment="1"/>
    <xf numFmtId="0" fontId="4" fillId="0" borderId="22" xfId="0" applyFont="1" applyBorder="1"/>
    <xf numFmtId="0" fontId="12" fillId="0" borderId="17" xfId="0" applyFont="1" applyBorder="1" applyAlignment="1">
      <alignment horizontal="center"/>
    </xf>
    <xf numFmtId="0" fontId="3" fillId="0" borderId="15" xfId="0" applyFont="1" applyBorder="1"/>
    <xf numFmtId="0" fontId="12" fillId="0" borderId="15" xfId="0" applyFont="1" applyBorder="1" applyAlignment="1"/>
    <xf numFmtId="0" fontId="12" fillId="0" borderId="16" xfId="0" applyFont="1" applyBorder="1" applyAlignment="1">
      <alignment horizontal="center" vertical="center"/>
    </xf>
    <xf numFmtId="181" fontId="3" fillId="0" borderId="15" xfId="0" applyNumberFormat="1" applyFont="1" applyBorder="1" applyAlignment="1">
      <alignment horizontal="center"/>
    </xf>
    <xf numFmtId="181" fontId="11" fillId="0" borderId="15" xfId="0" applyNumberFormat="1" applyFont="1" applyBorder="1" applyAlignment="1"/>
    <xf numFmtId="182" fontId="11" fillId="0" borderId="15" xfId="0" applyNumberFormat="1" applyFont="1" applyBorder="1" applyAlignment="1"/>
    <xf numFmtId="182" fontId="5" fillId="0" borderId="15" xfId="0" applyNumberFormat="1" applyFont="1" applyBorder="1"/>
    <xf numFmtId="183" fontId="11" fillId="0" borderId="15" xfId="0" applyNumberFormat="1" applyFont="1" applyBorder="1" applyAlignment="1">
      <alignment horizontal="right"/>
    </xf>
    <xf numFmtId="181" fontId="5" fillId="0" borderId="15" xfId="0" applyNumberFormat="1" applyFont="1" applyBorder="1" applyAlignment="1">
      <alignment horizontal="center"/>
    </xf>
    <xf numFmtId="0" fontId="11" fillId="0" borderId="21" xfId="0" applyFont="1" applyBorder="1" applyAlignment="1"/>
    <xf numFmtId="0" fontId="0" fillId="0" borderId="9" xfId="0" applyFont="1" applyBorder="1" applyAlignment="1"/>
  </cellXfs>
  <cellStyles count="49">
    <cellStyle name="Normal" xfId="0" builtinId="0"/>
    <cellStyle name="Koma" xfId="1" builtinId="3"/>
    <cellStyle name="Mata Uang" xfId="2" builtinId="4"/>
    <cellStyle name="Persen" xfId="3" builtinId="5"/>
    <cellStyle name="Koma [0]" xfId="4" builtinId="6"/>
    <cellStyle name="Mata Uang [0]" xfId="5" builtinId="7"/>
    <cellStyle name="Hyperlink" xfId="6" builtinId="8"/>
    <cellStyle name="Hyperlink yang Diikuti" xfId="7" builtinId="9"/>
    <cellStyle name="Catatan" xfId="8" builtinId="10"/>
    <cellStyle name="Teks Peringatan" xfId="9" builtinId="11"/>
    <cellStyle name="Judul" xfId="10" builtinId="15"/>
    <cellStyle name="Teks CExplanatory" xfId="11" builtinId="53"/>
    <cellStyle name="Kepala 1" xfId="12" builtinId="16"/>
    <cellStyle name="Kepala 2" xfId="13" builtinId="17"/>
    <cellStyle name="Kepala 3" xfId="14" builtinId="18"/>
    <cellStyle name="Kepala 4" xfId="15" builtinId="19"/>
    <cellStyle name="input" xfId="16" builtinId="20"/>
    <cellStyle name="Output" xfId="17" builtinId="21"/>
    <cellStyle name="Perhitungan" xfId="18" builtinId="22"/>
    <cellStyle name="Cek Sel" xfId="19" builtinId="23"/>
    <cellStyle name="Sel Ditautkan" xfId="20" builtinId="24"/>
    <cellStyle name="Total" xfId="21" builtinId="25"/>
    <cellStyle name="Baik" xfId="22" builtinId="26"/>
    <cellStyle name="Buruk" xfId="23" builtinId="27"/>
    <cellStyle name="Netral" xfId="24" builtinId="28"/>
    <cellStyle name="Aksen1" xfId="25" builtinId="29"/>
    <cellStyle name="20% - Aksen1" xfId="26" builtinId="30"/>
    <cellStyle name="40% - Aksen1" xfId="27" builtinId="31"/>
    <cellStyle name="60% - Aksen1" xfId="28" builtinId="32"/>
    <cellStyle name="Aksen2" xfId="29" builtinId="33"/>
    <cellStyle name="20% - Aksen2" xfId="30" builtinId="34"/>
    <cellStyle name="40% - Aksen2" xfId="31" builtinId="35"/>
    <cellStyle name="60% - Aksen2" xfId="32" builtinId="36"/>
    <cellStyle name="Aksen3" xfId="33" builtinId="37"/>
    <cellStyle name="20% - Aksen3" xfId="34" builtinId="38"/>
    <cellStyle name="40% - Aksen3" xfId="35" builtinId="39"/>
    <cellStyle name="60% - Aksen3" xfId="36" builtinId="40"/>
    <cellStyle name="Aksen4" xfId="37" builtinId="41"/>
    <cellStyle name="20% - Aksen4" xfId="38" builtinId="42"/>
    <cellStyle name="40% - Aksen4" xfId="39" builtinId="43"/>
    <cellStyle name="60% - Aksen4" xfId="40" builtinId="44"/>
    <cellStyle name="Aksen5" xfId="41" builtinId="45"/>
    <cellStyle name="20% - Aksen5" xfId="42" builtinId="46"/>
    <cellStyle name="40% - Aksen5" xfId="43" builtinId="47"/>
    <cellStyle name="60% - Aksen5" xfId="44" builtinId="48"/>
    <cellStyle name="Aksen6" xfId="45" builtinId="49"/>
    <cellStyle name="20% - Aksen6" xfId="46" builtinId="50"/>
    <cellStyle name="40% - Aksen6" xfId="47" builtinId="51"/>
    <cellStyle name="60% - Aksen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65405</xdr:colOff>
      <xdr:row>20</xdr:row>
      <xdr:rowOff>60325</xdr:rowOff>
    </xdr:from>
    <xdr:ext cx="131445" cy="121285"/>
    <xdr:grpSp>
      <xdr:nvGrpSpPr>
        <xdr:cNvPr id="6" name="Shape 2" title="Drawing"/>
        <xdr:cNvGrpSpPr/>
      </xdr:nvGrpSpPr>
      <xdr:grpSpPr>
        <a:xfrm>
          <a:off x="4354830" y="3445510"/>
          <a:ext cx="131445" cy="121285"/>
          <a:chOff x="1829954" y="1122752"/>
          <a:chExt cx="205764" cy="235200"/>
        </a:xfrm>
      </xdr:grpSpPr>
      <xdr:cxnSp>
        <xdr:nvCxnSpPr>
          <xdr:cNvPr id="7" name="Shape 6"/>
          <xdr:cNvCxnSpPr/>
        </xdr:nvCxnSpPr>
        <xdr:spPr>
          <a:xfrm flipH="1">
            <a:off x="1829954" y="1128582"/>
            <a:ext cx="71700" cy="92100"/>
          </a:xfrm>
          <a:prstGeom prst="straightConnector1">
            <a:avLst/>
          </a:prstGeom>
          <a:ln w="31750" cap="rnd">
            <a:solidFill>
              <a:schemeClr val="tx1"/>
            </a:solidFill>
            <a:round/>
            <a:headEnd type="none" w="med" len="med"/>
            <a:tailEnd type="none" w="med" len="med"/>
          </a:ln>
        </xdr:spPr>
        <xdr:style>
          <a:lnRef idx="0">
            <a:srgbClr val="FFFFFF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8" name="Shape 7"/>
          <xdr:cNvCxnSpPr/>
        </xdr:nvCxnSpPr>
        <xdr:spPr>
          <a:xfrm>
            <a:off x="1902818" y="1122752"/>
            <a:ext cx="132900" cy="235200"/>
          </a:xfrm>
          <a:prstGeom prst="straightConnector1">
            <a:avLst/>
          </a:prstGeom>
          <a:ln w="31750" cap="rnd">
            <a:solidFill>
              <a:schemeClr val="tx1"/>
            </a:solidFill>
            <a:round/>
            <a:headEnd type="none" w="med" len="med"/>
            <a:tailEnd type="none" w="med" len="med"/>
          </a:ln>
        </xdr:spPr>
        <xdr:style>
          <a:lnRef idx="0">
            <a:srgbClr val="FFFFFF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</xdr:grpSp>
    <xdr:clientData fLocksWithSheet="0"/>
  </xdr:oneCellAnchor>
  <xdr:oneCellAnchor>
    <xdr:from>
      <xdr:col>4</xdr:col>
      <xdr:colOff>81915</xdr:colOff>
      <xdr:row>8</xdr:row>
      <xdr:rowOff>45085</xdr:rowOff>
    </xdr:from>
    <xdr:ext cx="104140" cy="111760"/>
    <xdr:grpSp>
      <xdr:nvGrpSpPr>
        <xdr:cNvPr id="13" name="Shape 2" title="Drawing"/>
        <xdr:cNvGrpSpPr/>
      </xdr:nvGrpSpPr>
      <xdr:grpSpPr>
        <a:xfrm>
          <a:off x="4371340" y="1418590"/>
          <a:ext cx="104140" cy="111760"/>
          <a:chOff x="2057317" y="1496389"/>
          <a:chExt cx="595864" cy="497400"/>
        </a:xfrm>
      </xdr:grpSpPr>
      <xdr:cxnSp>
        <xdr:nvCxnSpPr>
          <xdr:cNvPr id="14" name="Shape 11"/>
          <xdr:cNvCxnSpPr/>
        </xdr:nvCxnSpPr>
        <xdr:spPr>
          <a:xfrm>
            <a:off x="2057317" y="1835074"/>
            <a:ext cx="182700" cy="142200"/>
          </a:xfrm>
          <a:prstGeom prst="straightConnector1">
            <a:avLst/>
          </a:prstGeom>
          <a:ln w="31750" cap="rnd">
            <a:solidFill>
              <a:sysClr val="windowText" lastClr="000000"/>
            </a:solidFill>
            <a:round/>
            <a:headEnd type="none" w="med" len="med"/>
            <a:tailEnd type="none" w="med" len="med"/>
          </a:ln>
        </xdr:spPr>
        <xdr:style>
          <a:lnRef idx="0">
            <a:srgbClr val="FFFFFF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15" name="Shape 12"/>
          <xdr:cNvCxnSpPr/>
        </xdr:nvCxnSpPr>
        <xdr:spPr>
          <a:xfrm flipH="1">
            <a:off x="2237081" y="1496389"/>
            <a:ext cx="416100" cy="497400"/>
          </a:xfrm>
          <a:prstGeom prst="straightConnector1">
            <a:avLst/>
          </a:prstGeom>
          <a:ln w="28575" cap="rnd" cmpd="sng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rgbClr val="FFFFFF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16" name="Shape 13"/>
          <xdr:cNvCxnSpPr/>
        </xdr:nvCxnSpPr>
        <xdr:spPr>
          <a:xfrm>
            <a:off x="2309450" y="1593525"/>
            <a:ext cx="300797" cy="308284"/>
          </a:xfrm>
          <a:prstGeom prst="straightConnector1">
            <a:avLst/>
          </a:prstGeom>
          <a:ln w="31750" cap="rnd">
            <a:solidFill>
              <a:sysClr val="windowText" lastClr="000000"/>
            </a:solidFill>
            <a:round/>
            <a:headEnd type="none" w="med" len="med"/>
            <a:tailEnd type="none" w="med" len="med"/>
          </a:ln>
        </xdr:spPr>
        <xdr:style>
          <a:lnRef idx="0">
            <a:srgbClr val="FFFFFF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</xdr:grpSp>
    <xdr:clientData fLocksWithSheet="0"/>
  </xdr:oneCellAnchor>
  <xdr:oneCellAnchor>
    <xdr:from>
      <xdr:col>4</xdr:col>
      <xdr:colOff>76835</xdr:colOff>
      <xdr:row>14</xdr:row>
      <xdr:rowOff>41275</xdr:rowOff>
    </xdr:from>
    <xdr:ext cx="114300" cy="112395"/>
    <xdr:grpSp>
      <xdr:nvGrpSpPr>
        <xdr:cNvPr id="45" name="Shape 2" title="Drawing"/>
        <xdr:cNvGrpSpPr/>
      </xdr:nvGrpSpPr>
      <xdr:grpSpPr>
        <a:xfrm>
          <a:off x="4366260" y="2420620"/>
          <a:ext cx="114300" cy="112395"/>
          <a:chOff x="2057317" y="1496389"/>
          <a:chExt cx="595864" cy="497400"/>
        </a:xfrm>
      </xdr:grpSpPr>
      <xdr:cxnSp>
        <xdr:nvCxnSpPr>
          <xdr:cNvPr id="46" name="Shape 11"/>
          <xdr:cNvCxnSpPr/>
        </xdr:nvCxnSpPr>
        <xdr:spPr>
          <a:xfrm>
            <a:off x="2057317" y="1835074"/>
            <a:ext cx="182700" cy="142200"/>
          </a:xfrm>
          <a:prstGeom prst="straightConnector1">
            <a:avLst/>
          </a:prstGeom>
          <a:ln w="31750" cap="rnd">
            <a:solidFill>
              <a:sysClr val="windowText" lastClr="000000"/>
            </a:solidFill>
            <a:round/>
            <a:headEnd type="none" w="med" len="med"/>
            <a:tailEnd type="none" w="med" len="med"/>
          </a:ln>
        </xdr:spPr>
        <xdr:style>
          <a:lnRef idx="0">
            <a:srgbClr val="FFFFFF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47" name="Shape 12"/>
          <xdr:cNvCxnSpPr/>
        </xdr:nvCxnSpPr>
        <xdr:spPr>
          <a:xfrm flipH="1">
            <a:off x="2237081" y="1496389"/>
            <a:ext cx="416100" cy="497400"/>
          </a:xfrm>
          <a:prstGeom prst="straightConnector1">
            <a:avLst/>
          </a:prstGeom>
          <a:ln w="28575" cap="rnd" cmpd="sng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rgbClr val="FFFFFF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48" name="Shape 13"/>
          <xdr:cNvCxnSpPr/>
        </xdr:nvCxnSpPr>
        <xdr:spPr>
          <a:xfrm>
            <a:off x="2309450" y="1593525"/>
            <a:ext cx="275014" cy="246109"/>
          </a:xfrm>
          <a:prstGeom prst="straightConnector1">
            <a:avLst/>
          </a:prstGeom>
          <a:ln w="31750" cap="rnd">
            <a:solidFill>
              <a:sysClr val="windowText" lastClr="000000"/>
            </a:solidFill>
            <a:round/>
            <a:headEnd type="none" w="med" len="med"/>
            <a:tailEnd type="none" w="med" len="med"/>
          </a:ln>
        </xdr:spPr>
        <xdr:style>
          <a:lnRef idx="0">
            <a:srgbClr val="FFFFFF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</xdr:grpSp>
    <xdr:clientData fLocksWithSheet="0"/>
  </xdr:oneCellAnchor>
  <xdr:oneCellAnchor>
    <xdr:from>
      <xdr:col>4</xdr:col>
      <xdr:colOff>75565</xdr:colOff>
      <xdr:row>19</xdr:row>
      <xdr:rowOff>34290</xdr:rowOff>
    </xdr:from>
    <xdr:ext cx="114300" cy="118110"/>
    <xdr:grpSp>
      <xdr:nvGrpSpPr>
        <xdr:cNvPr id="49" name="Shape 2" title="Drawing"/>
        <xdr:cNvGrpSpPr/>
      </xdr:nvGrpSpPr>
      <xdr:grpSpPr>
        <a:xfrm>
          <a:off x="4364990" y="3251835"/>
          <a:ext cx="114300" cy="118110"/>
          <a:chOff x="2057317" y="1496389"/>
          <a:chExt cx="595864" cy="497400"/>
        </a:xfrm>
      </xdr:grpSpPr>
      <xdr:cxnSp>
        <xdr:nvCxnSpPr>
          <xdr:cNvPr id="50" name="Shape 11"/>
          <xdr:cNvCxnSpPr/>
        </xdr:nvCxnSpPr>
        <xdr:spPr>
          <a:xfrm>
            <a:off x="2057317" y="1835074"/>
            <a:ext cx="182700" cy="142200"/>
          </a:xfrm>
          <a:prstGeom prst="straightConnector1">
            <a:avLst/>
          </a:prstGeom>
          <a:ln w="31750" cap="rnd">
            <a:solidFill>
              <a:sysClr val="windowText" lastClr="000000"/>
            </a:solidFill>
            <a:round/>
            <a:headEnd type="none" w="med" len="med"/>
            <a:tailEnd type="none" w="med" len="med"/>
          </a:ln>
        </xdr:spPr>
        <xdr:style>
          <a:lnRef idx="0">
            <a:srgbClr val="FFFFFF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51" name="Shape 12"/>
          <xdr:cNvCxnSpPr/>
        </xdr:nvCxnSpPr>
        <xdr:spPr>
          <a:xfrm flipH="1">
            <a:off x="2237081" y="1496389"/>
            <a:ext cx="416100" cy="497400"/>
          </a:xfrm>
          <a:prstGeom prst="straightConnector1">
            <a:avLst/>
          </a:prstGeom>
          <a:ln w="28575" cap="rnd" cmpd="sng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rgbClr val="FFFFFF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52" name="Shape 13"/>
          <xdr:cNvCxnSpPr/>
        </xdr:nvCxnSpPr>
        <xdr:spPr>
          <a:xfrm>
            <a:off x="2309450" y="1593525"/>
            <a:ext cx="275014" cy="246109"/>
          </a:xfrm>
          <a:prstGeom prst="straightConnector1">
            <a:avLst/>
          </a:prstGeom>
          <a:ln w="31750" cap="rnd">
            <a:solidFill>
              <a:sysClr val="windowText" lastClr="000000"/>
            </a:solidFill>
            <a:round/>
            <a:headEnd type="none" w="med" len="med"/>
            <a:tailEnd type="none" w="med" len="med"/>
          </a:ln>
        </xdr:spPr>
        <xdr:style>
          <a:lnRef idx="0">
            <a:srgbClr val="FFFFFF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</xdr:grpSp>
    <xdr:clientData fLocksWithSheet="0"/>
  </xdr:oneCellAnchor>
  <xdr:oneCellAnchor>
    <xdr:from>
      <xdr:col>11</xdr:col>
      <xdr:colOff>142240</xdr:colOff>
      <xdr:row>19</xdr:row>
      <xdr:rowOff>22860</xdr:rowOff>
    </xdr:from>
    <xdr:ext cx="132080" cy="121920"/>
    <xdr:grpSp>
      <xdr:nvGrpSpPr>
        <xdr:cNvPr id="61" name="Shape 2" title="Drawing"/>
        <xdr:cNvGrpSpPr/>
      </xdr:nvGrpSpPr>
      <xdr:grpSpPr>
        <a:xfrm>
          <a:off x="9378315" y="3240405"/>
          <a:ext cx="132080" cy="121920"/>
          <a:chOff x="2057317" y="1496389"/>
          <a:chExt cx="595864" cy="497400"/>
        </a:xfrm>
      </xdr:grpSpPr>
      <xdr:cxnSp>
        <xdr:nvCxnSpPr>
          <xdr:cNvPr id="62" name="Shape 11"/>
          <xdr:cNvCxnSpPr/>
        </xdr:nvCxnSpPr>
        <xdr:spPr>
          <a:xfrm>
            <a:off x="2057317" y="1835074"/>
            <a:ext cx="182700" cy="142200"/>
          </a:xfrm>
          <a:prstGeom prst="straightConnector1">
            <a:avLst/>
          </a:prstGeom>
          <a:ln w="31750" cap="rnd">
            <a:solidFill>
              <a:sysClr val="windowText" lastClr="000000"/>
            </a:solidFill>
            <a:round/>
            <a:headEnd type="none" w="med" len="med"/>
            <a:tailEnd type="none" w="med" len="med"/>
          </a:ln>
        </xdr:spPr>
        <xdr:style>
          <a:lnRef idx="0">
            <a:srgbClr val="FFFFFF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63" name="Shape 12"/>
          <xdr:cNvCxnSpPr/>
        </xdr:nvCxnSpPr>
        <xdr:spPr>
          <a:xfrm flipH="1">
            <a:off x="2237081" y="1496389"/>
            <a:ext cx="416100" cy="497400"/>
          </a:xfrm>
          <a:prstGeom prst="straightConnector1">
            <a:avLst/>
          </a:prstGeom>
          <a:ln w="28575" cap="rnd" cmpd="sng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rgbClr val="FFFFFF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64" name="Shape 13"/>
          <xdr:cNvCxnSpPr/>
        </xdr:nvCxnSpPr>
        <xdr:spPr>
          <a:xfrm>
            <a:off x="2309450" y="1593525"/>
            <a:ext cx="275014" cy="246109"/>
          </a:xfrm>
          <a:prstGeom prst="straightConnector1">
            <a:avLst/>
          </a:prstGeom>
          <a:ln w="31750" cap="rnd">
            <a:solidFill>
              <a:sysClr val="windowText" lastClr="000000"/>
            </a:solidFill>
            <a:round/>
            <a:headEnd type="none" w="med" len="med"/>
            <a:tailEnd type="none" w="med" len="med"/>
          </a:ln>
        </xdr:spPr>
        <xdr:style>
          <a:lnRef idx="0">
            <a:srgbClr val="FFFFFF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</xdr:grpSp>
    <xdr:clientData fLocksWithSheet="0"/>
  </xdr:oneCellAnchor>
  <xdr:oneCellAnchor>
    <xdr:from>
      <xdr:col>6</xdr:col>
      <xdr:colOff>71120</xdr:colOff>
      <xdr:row>20</xdr:row>
      <xdr:rowOff>69850</xdr:rowOff>
    </xdr:from>
    <xdr:ext cx="131445" cy="121285"/>
    <xdr:grpSp>
      <xdr:nvGrpSpPr>
        <xdr:cNvPr id="87" name="Shape 2" title="Drawing"/>
        <xdr:cNvGrpSpPr/>
      </xdr:nvGrpSpPr>
      <xdr:grpSpPr>
        <a:xfrm>
          <a:off x="5655945" y="3455035"/>
          <a:ext cx="131445" cy="121285"/>
          <a:chOff x="1829954" y="1122752"/>
          <a:chExt cx="205764" cy="235200"/>
        </a:xfrm>
      </xdr:grpSpPr>
      <xdr:cxnSp>
        <xdr:nvCxnSpPr>
          <xdr:cNvPr id="88" name="Shape 6"/>
          <xdr:cNvCxnSpPr/>
        </xdr:nvCxnSpPr>
        <xdr:spPr>
          <a:xfrm flipH="1">
            <a:off x="1829954" y="1128582"/>
            <a:ext cx="71700" cy="92100"/>
          </a:xfrm>
          <a:prstGeom prst="straightConnector1">
            <a:avLst/>
          </a:prstGeom>
          <a:ln w="31750" cap="rnd">
            <a:solidFill>
              <a:schemeClr val="tx1"/>
            </a:solidFill>
            <a:round/>
            <a:headEnd type="none" w="med" len="med"/>
            <a:tailEnd type="none" w="med" len="med"/>
          </a:ln>
        </xdr:spPr>
        <xdr:style>
          <a:lnRef idx="0">
            <a:srgbClr val="FFFFFF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89" name="Shape 7"/>
          <xdr:cNvCxnSpPr/>
        </xdr:nvCxnSpPr>
        <xdr:spPr>
          <a:xfrm>
            <a:off x="1902818" y="1122752"/>
            <a:ext cx="132900" cy="235200"/>
          </a:xfrm>
          <a:prstGeom prst="straightConnector1">
            <a:avLst/>
          </a:prstGeom>
          <a:ln w="31750" cap="rnd">
            <a:solidFill>
              <a:schemeClr val="tx1"/>
            </a:solidFill>
            <a:round/>
            <a:headEnd type="none" w="med" len="med"/>
            <a:tailEnd type="none" w="med" len="med"/>
          </a:ln>
        </xdr:spPr>
        <xdr:style>
          <a:lnRef idx="0">
            <a:srgbClr val="FFFFFF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</xdr:grpSp>
    <xdr:clientData fLocksWithSheet="0"/>
  </xdr:oneCellAnchor>
  <xdr:oneCellAnchor>
    <xdr:from>
      <xdr:col>11</xdr:col>
      <xdr:colOff>127000</xdr:colOff>
      <xdr:row>20</xdr:row>
      <xdr:rowOff>79375</xdr:rowOff>
    </xdr:from>
    <xdr:ext cx="131445" cy="121285"/>
    <xdr:grpSp>
      <xdr:nvGrpSpPr>
        <xdr:cNvPr id="90" name="Shape 2" title="Drawing"/>
        <xdr:cNvGrpSpPr/>
      </xdr:nvGrpSpPr>
      <xdr:grpSpPr>
        <a:xfrm>
          <a:off x="9363075" y="3464560"/>
          <a:ext cx="131445" cy="121285"/>
          <a:chOff x="1829954" y="1122752"/>
          <a:chExt cx="205764" cy="235200"/>
        </a:xfrm>
      </xdr:grpSpPr>
      <xdr:cxnSp>
        <xdr:nvCxnSpPr>
          <xdr:cNvPr id="91" name="Shape 6"/>
          <xdr:cNvCxnSpPr/>
        </xdr:nvCxnSpPr>
        <xdr:spPr>
          <a:xfrm flipH="1">
            <a:off x="1829954" y="1128582"/>
            <a:ext cx="71700" cy="92100"/>
          </a:xfrm>
          <a:prstGeom prst="straightConnector1">
            <a:avLst/>
          </a:prstGeom>
          <a:ln w="31750" cap="rnd">
            <a:solidFill>
              <a:schemeClr val="tx1"/>
            </a:solidFill>
            <a:round/>
            <a:headEnd type="none" w="med" len="med"/>
            <a:tailEnd type="none" w="med" len="med"/>
          </a:ln>
        </xdr:spPr>
        <xdr:style>
          <a:lnRef idx="0">
            <a:srgbClr val="FFFFFF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92" name="Shape 7"/>
          <xdr:cNvCxnSpPr/>
        </xdr:nvCxnSpPr>
        <xdr:spPr>
          <a:xfrm>
            <a:off x="1902818" y="1122752"/>
            <a:ext cx="132900" cy="235200"/>
          </a:xfrm>
          <a:prstGeom prst="straightConnector1">
            <a:avLst/>
          </a:prstGeom>
          <a:ln w="31750" cap="rnd">
            <a:solidFill>
              <a:schemeClr val="tx1"/>
            </a:solidFill>
            <a:round/>
            <a:headEnd type="none" w="med" len="med"/>
            <a:tailEnd type="none" w="med" len="med"/>
          </a:ln>
        </xdr:spPr>
        <xdr:style>
          <a:lnRef idx="0">
            <a:srgbClr val="FFFFFF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</xdr:grpSp>
    <xdr:clientData fLocksWithSheet="0"/>
  </xdr:oneCellAnchor>
  <xdr:oneCellAnchor>
    <xdr:from>
      <xdr:col>13</xdr:col>
      <xdr:colOff>142240</xdr:colOff>
      <xdr:row>20</xdr:row>
      <xdr:rowOff>74295</xdr:rowOff>
    </xdr:from>
    <xdr:ext cx="131445" cy="121285"/>
    <xdr:grpSp>
      <xdr:nvGrpSpPr>
        <xdr:cNvPr id="93" name="Shape 2" title="Drawing"/>
        <xdr:cNvGrpSpPr/>
      </xdr:nvGrpSpPr>
      <xdr:grpSpPr>
        <a:xfrm>
          <a:off x="10768330" y="3459480"/>
          <a:ext cx="131445" cy="121285"/>
          <a:chOff x="1829954" y="1122752"/>
          <a:chExt cx="205764" cy="235200"/>
        </a:xfrm>
      </xdr:grpSpPr>
      <xdr:cxnSp>
        <xdr:nvCxnSpPr>
          <xdr:cNvPr id="94" name="Shape 6"/>
          <xdr:cNvCxnSpPr/>
        </xdr:nvCxnSpPr>
        <xdr:spPr>
          <a:xfrm flipH="1">
            <a:off x="1829954" y="1128582"/>
            <a:ext cx="71700" cy="92100"/>
          </a:xfrm>
          <a:prstGeom prst="straightConnector1">
            <a:avLst/>
          </a:prstGeom>
          <a:ln w="31750" cap="rnd">
            <a:solidFill>
              <a:schemeClr val="tx1"/>
            </a:solidFill>
            <a:round/>
            <a:headEnd type="none" w="med" len="med"/>
            <a:tailEnd type="none" w="med" len="med"/>
          </a:ln>
        </xdr:spPr>
        <xdr:style>
          <a:lnRef idx="0">
            <a:srgbClr val="FFFFFF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95" name="Shape 7"/>
          <xdr:cNvCxnSpPr/>
        </xdr:nvCxnSpPr>
        <xdr:spPr>
          <a:xfrm>
            <a:off x="1902818" y="1122752"/>
            <a:ext cx="132900" cy="235200"/>
          </a:xfrm>
          <a:prstGeom prst="straightConnector1">
            <a:avLst/>
          </a:prstGeom>
          <a:ln w="31750" cap="rnd">
            <a:solidFill>
              <a:schemeClr val="tx1"/>
            </a:solidFill>
            <a:round/>
            <a:headEnd type="none" w="med" len="med"/>
            <a:tailEnd type="none" w="med" len="med"/>
          </a:ln>
        </xdr:spPr>
        <xdr:style>
          <a:lnRef idx="0">
            <a:srgbClr val="FFFFFF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</xdr:grpSp>
    <xdr:clientData fLocksWithSheet="0"/>
  </xdr:oneCellAnchor>
  <xdr:oneCellAnchor>
    <xdr:from>
      <xdr:col>11</xdr:col>
      <xdr:colOff>136525</xdr:colOff>
      <xdr:row>8</xdr:row>
      <xdr:rowOff>33020</xdr:rowOff>
    </xdr:from>
    <xdr:ext cx="104140" cy="111760"/>
    <xdr:grpSp>
      <xdr:nvGrpSpPr>
        <xdr:cNvPr id="96" name="Shape 2" title="Drawing"/>
        <xdr:cNvGrpSpPr/>
      </xdr:nvGrpSpPr>
      <xdr:grpSpPr>
        <a:xfrm>
          <a:off x="9372600" y="1406525"/>
          <a:ext cx="104140" cy="111760"/>
          <a:chOff x="2057317" y="1496389"/>
          <a:chExt cx="595864" cy="497400"/>
        </a:xfrm>
      </xdr:grpSpPr>
      <xdr:cxnSp>
        <xdr:nvCxnSpPr>
          <xdr:cNvPr id="97" name="Shape 11"/>
          <xdr:cNvCxnSpPr/>
        </xdr:nvCxnSpPr>
        <xdr:spPr>
          <a:xfrm>
            <a:off x="2057317" y="1835074"/>
            <a:ext cx="182700" cy="142200"/>
          </a:xfrm>
          <a:prstGeom prst="straightConnector1">
            <a:avLst/>
          </a:prstGeom>
          <a:ln w="31750" cap="rnd">
            <a:solidFill>
              <a:sysClr val="windowText" lastClr="000000"/>
            </a:solidFill>
            <a:round/>
            <a:headEnd type="none" w="med" len="med"/>
            <a:tailEnd type="none" w="med" len="med"/>
          </a:ln>
        </xdr:spPr>
        <xdr:style>
          <a:lnRef idx="0">
            <a:srgbClr val="FFFFFF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98" name="Shape 12"/>
          <xdr:cNvCxnSpPr/>
        </xdr:nvCxnSpPr>
        <xdr:spPr>
          <a:xfrm flipH="1">
            <a:off x="2237081" y="1496389"/>
            <a:ext cx="416100" cy="497400"/>
          </a:xfrm>
          <a:prstGeom prst="straightConnector1">
            <a:avLst/>
          </a:prstGeom>
          <a:ln w="28575" cap="rnd" cmpd="sng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rgbClr val="FFFFFF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99" name="Shape 13"/>
          <xdr:cNvCxnSpPr/>
        </xdr:nvCxnSpPr>
        <xdr:spPr>
          <a:xfrm>
            <a:off x="2309450" y="1593525"/>
            <a:ext cx="300797" cy="308284"/>
          </a:xfrm>
          <a:prstGeom prst="straightConnector1">
            <a:avLst/>
          </a:prstGeom>
          <a:ln w="31750" cap="rnd">
            <a:solidFill>
              <a:sysClr val="windowText" lastClr="000000"/>
            </a:solidFill>
            <a:round/>
            <a:headEnd type="none" w="med" len="med"/>
            <a:tailEnd type="none" w="med" len="med"/>
          </a:ln>
        </xdr:spPr>
        <xdr:style>
          <a:lnRef idx="0">
            <a:srgbClr val="FFFFFF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</xdr:grpSp>
    <xdr:clientData fLocksWithSheet="0"/>
  </xdr:oneCellAnchor>
  <xdr:oneCellAnchor>
    <xdr:from>
      <xdr:col>11</xdr:col>
      <xdr:colOff>135890</xdr:colOff>
      <xdr:row>14</xdr:row>
      <xdr:rowOff>68580</xdr:rowOff>
    </xdr:from>
    <xdr:ext cx="104140" cy="111760"/>
    <xdr:grpSp>
      <xdr:nvGrpSpPr>
        <xdr:cNvPr id="100" name="Shape 2" title="Drawing"/>
        <xdr:cNvGrpSpPr/>
      </xdr:nvGrpSpPr>
      <xdr:grpSpPr>
        <a:xfrm>
          <a:off x="9371965" y="2447925"/>
          <a:ext cx="104140" cy="111760"/>
          <a:chOff x="2057317" y="1496389"/>
          <a:chExt cx="595864" cy="497400"/>
        </a:xfrm>
      </xdr:grpSpPr>
      <xdr:cxnSp>
        <xdr:nvCxnSpPr>
          <xdr:cNvPr id="101" name="Shape 11"/>
          <xdr:cNvCxnSpPr/>
        </xdr:nvCxnSpPr>
        <xdr:spPr>
          <a:xfrm>
            <a:off x="2057317" y="1835074"/>
            <a:ext cx="182700" cy="142200"/>
          </a:xfrm>
          <a:prstGeom prst="straightConnector1">
            <a:avLst/>
          </a:prstGeom>
          <a:ln w="31750" cap="rnd">
            <a:solidFill>
              <a:sysClr val="windowText" lastClr="000000"/>
            </a:solidFill>
            <a:round/>
            <a:headEnd type="none" w="med" len="med"/>
            <a:tailEnd type="none" w="med" len="med"/>
          </a:ln>
        </xdr:spPr>
        <xdr:style>
          <a:lnRef idx="0">
            <a:srgbClr val="FFFFFF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102" name="Shape 12"/>
          <xdr:cNvCxnSpPr/>
        </xdr:nvCxnSpPr>
        <xdr:spPr>
          <a:xfrm flipH="1">
            <a:off x="2237081" y="1496389"/>
            <a:ext cx="416100" cy="497400"/>
          </a:xfrm>
          <a:prstGeom prst="straightConnector1">
            <a:avLst/>
          </a:prstGeom>
          <a:ln w="28575" cap="rnd" cmpd="sng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rgbClr val="FFFFFF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103" name="Shape 13"/>
          <xdr:cNvCxnSpPr/>
        </xdr:nvCxnSpPr>
        <xdr:spPr>
          <a:xfrm>
            <a:off x="2309450" y="1593525"/>
            <a:ext cx="300797" cy="308284"/>
          </a:xfrm>
          <a:prstGeom prst="straightConnector1">
            <a:avLst/>
          </a:prstGeom>
          <a:ln w="31750" cap="rnd">
            <a:solidFill>
              <a:sysClr val="windowText" lastClr="000000"/>
            </a:solidFill>
            <a:round/>
            <a:headEnd type="none" w="med" len="med"/>
            <a:tailEnd type="none" w="med" len="med"/>
          </a:ln>
        </xdr:spPr>
        <xdr:style>
          <a:lnRef idx="0">
            <a:srgbClr val="FFFFFF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</xdr:grpSp>
    <xdr:clientData fLocksWithSheet="0"/>
  </xdr:oneCellAnchor>
  <xdr:oneCellAnchor>
    <xdr:from>
      <xdr:col>0</xdr:col>
      <xdr:colOff>487680</xdr:colOff>
      <xdr:row>34</xdr:row>
      <xdr:rowOff>24765</xdr:rowOff>
    </xdr:from>
    <xdr:ext cx="173355" cy="160020"/>
    <xdr:grpSp>
      <xdr:nvGrpSpPr>
        <xdr:cNvPr id="12" name="Shape 2" title="Drawing"/>
        <xdr:cNvGrpSpPr/>
      </xdr:nvGrpSpPr>
      <xdr:grpSpPr>
        <a:xfrm>
          <a:off x="487680" y="6311265"/>
          <a:ext cx="173355" cy="160020"/>
          <a:chOff x="1821623" y="1117525"/>
          <a:chExt cx="195502" cy="235200"/>
        </a:xfrm>
      </xdr:grpSpPr>
      <xdr:cxnSp>
        <xdr:nvCxnSpPr>
          <xdr:cNvPr id="17" name="Shape 6"/>
          <xdr:cNvCxnSpPr/>
        </xdr:nvCxnSpPr>
        <xdr:spPr>
          <a:xfrm flipH="1">
            <a:off x="1821623" y="1128582"/>
            <a:ext cx="80031" cy="74667"/>
          </a:xfrm>
          <a:prstGeom prst="straightConnector1">
            <a:avLst/>
          </a:prstGeom>
          <a:noFill/>
          <a:ln w="28575" cap="flat" cmpd="sng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</xdr:spPr>
      </xdr:cxnSp>
      <xdr:cxnSp>
        <xdr:nvCxnSpPr>
          <xdr:cNvPr id="18" name="Shape 7"/>
          <xdr:cNvCxnSpPr/>
        </xdr:nvCxnSpPr>
        <xdr:spPr>
          <a:xfrm>
            <a:off x="1884225" y="1117525"/>
            <a:ext cx="132900" cy="235200"/>
          </a:xfrm>
          <a:prstGeom prst="straightConnector1">
            <a:avLst/>
          </a:prstGeom>
          <a:noFill/>
          <a:ln w="28575" cap="flat" cmpd="sng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0</xdr:col>
      <xdr:colOff>516255</xdr:colOff>
      <xdr:row>35</xdr:row>
      <xdr:rowOff>41910</xdr:rowOff>
    </xdr:from>
    <xdr:ext cx="132080" cy="121920"/>
    <xdr:grpSp>
      <xdr:nvGrpSpPr>
        <xdr:cNvPr id="19" name="Shape 2" title="Drawing"/>
        <xdr:cNvGrpSpPr/>
      </xdr:nvGrpSpPr>
      <xdr:grpSpPr>
        <a:xfrm>
          <a:off x="516255" y="6528435"/>
          <a:ext cx="132080" cy="121920"/>
          <a:chOff x="2057317" y="1496389"/>
          <a:chExt cx="595864" cy="497400"/>
        </a:xfrm>
      </xdr:grpSpPr>
      <xdr:cxnSp>
        <xdr:nvCxnSpPr>
          <xdr:cNvPr id="20" name="Shape 11"/>
          <xdr:cNvCxnSpPr/>
        </xdr:nvCxnSpPr>
        <xdr:spPr>
          <a:xfrm>
            <a:off x="2057317" y="1835074"/>
            <a:ext cx="182700" cy="142200"/>
          </a:xfrm>
          <a:prstGeom prst="straightConnector1">
            <a:avLst/>
          </a:prstGeom>
          <a:ln w="31750" cap="rnd">
            <a:solidFill>
              <a:sysClr val="windowText" lastClr="000000"/>
            </a:solidFill>
            <a:round/>
            <a:headEnd type="none" w="med" len="med"/>
            <a:tailEnd type="none" w="med" len="med"/>
          </a:ln>
        </xdr:spPr>
        <xdr:style>
          <a:lnRef idx="0">
            <a:srgbClr val="FFFFFF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21" name="Shape 12"/>
          <xdr:cNvCxnSpPr/>
        </xdr:nvCxnSpPr>
        <xdr:spPr>
          <a:xfrm flipH="1">
            <a:off x="2237081" y="1496389"/>
            <a:ext cx="416100" cy="497400"/>
          </a:xfrm>
          <a:prstGeom prst="straightConnector1">
            <a:avLst/>
          </a:prstGeom>
          <a:ln w="28575" cap="rnd" cmpd="sng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rgbClr val="FFFFFF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  <xdr:cxnSp>
        <xdr:nvCxnSpPr>
          <xdr:cNvPr id="22" name="Shape 13"/>
          <xdr:cNvCxnSpPr/>
        </xdr:nvCxnSpPr>
        <xdr:spPr>
          <a:xfrm>
            <a:off x="2309450" y="1593525"/>
            <a:ext cx="275014" cy="246109"/>
          </a:xfrm>
          <a:prstGeom prst="straightConnector1">
            <a:avLst/>
          </a:prstGeom>
          <a:ln w="31750" cap="rnd">
            <a:solidFill>
              <a:sysClr val="windowText" lastClr="000000"/>
            </a:solidFill>
            <a:round/>
            <a:headEnd type="none" w="med" len="med"/>
            <a:tailEnd type="none" w="med" len="med"/>
          </a:ln>
        </xdr:spPr>
        <xdr:style>
          <a:lnRef idx="0">
            <a:srgbClr val="FFFFFF"/>
          </a:lnRef>
          <a:fillRef idx="0">
            <a:srgbClr val="FFFFFF"/>
          </a:fillRef>
          <a:effectRef idx="0">
            <a:srgbClr val="FFFFFF"/>
          </a:effectRef>
          <a:fontRef idx="minor">
            <a:schemeClr val="tx1"/>
          </a:fontRef>
        </xdr:style>
      </xdr:cxnSp>
    </xdr:grpSp>
    <xdr:clientData fLocksWithSheet="0"/>
  </xdr:oneCellAnchor>
  <xdr:twoCellAnchor>
    <xdr:from>
      <xdr:col>6</xdr:col>
      <xdr:colOff>44450</xdr:colOff>
      <xdr:row>21</xdr:row>
      <xdr:rowOff>116205</xdr:rowOff>
    </xdr:from>
    <xdr:to>
      <xdr:col>6</xdr:col>
      <xdr:colOff>222250</xdr:colOff>
      <xdr:row>21</xdr:row>
      <xdr:rowOff>116840</xdr:rowOff>
    </xdr:to>
    <xdr:cxnSp>
      <xdr:nvCxnSpPr>
        <xdr:cNvPr id="26" name="Konektor Garis Lurus 25"/>
        <xdr:cNvCxnSpPr/>
      </xdr:nvCxnSpPr>
      <xdr:spPr>
        <a:xfrm>
          <a:off x="5629275" y="3758565"/>
          <a:ext cx="177800" cy="635"/>
        </a:xfrm>
        <a:prstGeom prst="line">
          <a:avLst/>
        </a:prstGeom>
        <a:ln w="31750" cap="rnd">
          <a:solidFill>
            <a:sysClr val="windowText" lastClr="0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499110</xdr:colOff>
      <xdr:row>36</xdr:row>
      <xdr:rowOff>109220</xdr:rowOff>
    </xdr:from>
    <xdr:to>
      <xdr:col>0</xdr:col>
      <xdr:colOff>676910</xdr:colOff>
      <xdr:row>36</xdr:row>
      <xdr:rowOff>109855</xdr:rowOff>
    </xdr:to>
    <xdr:cxnSp>
      <xdr:nvCxnSpPr>
        <xdr:cNvPr id="27" name="Konektor Garis Lurus 26"/>
        <xdr:cNvCxnSpPr/>
      </xdr:nvCxnSpPr>
      <xdr:spPr>
        <a:xfrm>
          <a:off x="499110" y="6795770"/>
          <a:ext cx="177800" cy="635"/>
        </a:xfrm>
        <a:prstGeom prst="line">
          <a:avLst/>
        </a:prstGeom>
        <a:ln w="31750" cap="rnd">
          <a:solidFill>
            <a:sysClr val="windowText" lastClr="000000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P37"/>
  <sheetViews>
    <sheetView tabSelected="1" zoomScale="109" zoomScaleNormal="109" workbookViewId="0">
      <selection activeCell="H29" sqref="H29"/>
    </sheetView>
  </sheetViews>
  <sheetFormatPr defaultColWidth="12.6296296296296" defaultRowHeight="15.75" customHeight="1"/>
  <cols>
    <col min="1" max="1" width="17.1203703703704" customWidth="1"/>
    <col min="2" max="2" width="10.6296296296296" customWidth="1"/>
    <col min="3" max="3" width="21.0185185185185" customWidth="1"/>
    <col min="4" max="4" width="13.7777777777778"/>
    <col min="5" max="5" width="4" customWidth="1"/>
    <col min="6" max="6" width="14.8888888888889"/>
    <col min="7" max="7" width="3.75" customWidth="1"/>
    <col min="9" max="9" width="4.5" customWidth="1"/>
    <col min="10" max="10" width="17.4722222222222" customWidth="1"/>
    <col min="11" max="11" width="14.8888888888889"/>
    <col min="12" max="12" width="5.37962962962963" customWidth="1"/>
    <col min="13" max="13" width="14.8888888888889"/>
    <col min="14" max="14" width="5.62962962962963" customWidth="1"/>
    <col min="15" max="15" width="14.4444444444444"/>
    <col min="16" max="16" width="3.5" customWidth="1"/>
  </cols>
  <sheetData>
    <row r="1" ht="13.2" spans="1:14">
      <c r="A1" s="44" t="s">
        <v>0</v>
      </c>
      <c r="B1" s="45" t="s">
        <v>1</v>
      </c>
      <c r="C1" s="46"/>
      <c r="D1" s="47"/>
      <c r="J1" s="94"/>
      <c r="K1" s="95" t="s">
        <v>2</v>
      </c>
      <c r="L1" s="95" t="s">
        <v>3</v>
      </c>
      <c r="M1" s="96"/>
      <c r="N1" s="96"/>
    </row>
    <row r="2" ht="13.2" spans="1:14">
      <c r="A2" s="48" t="s">
        <v>4</v>
      </c>
      <c r="B2" s="49" t="s">
        <v>5</v>
      </c>
      <c r="C2" s="50"/>
      <c r="D2" s="51"/>
      <c r="K2" s="95" t="s">
        <v>6</v>
      </c>
      <c r="L2" s="95" t="s">
        <v>7</v>
      </c>
      <c r="M2" s="96"/>
      <c r="N2" s="96"/>
    </row>
    <row r="3" ht="13.2" spans="1:14">
      <c r="A3" s="52" t="s">
        <v>8</v>
      </c>
      <c r="B3" s="53" t="s">
        <v>9</v>
      </c>
      <c r="C3" s="54"/>
      <c r="D3" s="55"/>
      <c r="K3" s="95" t="s">
        <v>10</v>
      </c>
      <c r="L3" s="95" t="s">
        <v>7</v>
      </c>
      <c r="M3" s="96"/>
      <c r="N3" s="96"/>
    </row>
    <row r="5" ht="13.2" spans="1:16">
      <c r="A5" s="56" t="s">
        <v>11</v>
      </c>
      <c r="B5" s="56"/>
      <c r="C5" s="57" t="s">
        <v>12</v>
      </c>
      <c r="D5" s="58" t="s">
        <v>13</v>
      </c>
      <c r="E5" s="59"/>
      <c r="F5" s="59"/>
      <c r="G5" s="59"/>
      <c r="H5" s="59"/>
      <c r="I5" s="97"/>
      <c r="J5" s="98"/>
      <c r="K5" s="98" t="s">
        <v>14</v>
      </c>
      <c r="L5" s="59"/>
      <c r="M5" s="59"/>
      <c r="N5" s="59"/>
      <c r="O5" s="59"/>
      <c r="P5" s="97"/>
    </row>
    <row r="6" ht="13.2" spans="1:16">
      <c r="A6" s="57" t="s">
        <v>15</v>
      </c>
      <c r="B6" s="57" t="s">
        <v>16</v>
      </c>
      <c r="C6" s="60"/>
      <c r="D6" s="57" t="s">
        <v>17</v>
      </c>
      <c r="E6" s="57"/>
      <c r="F6" s="57" t="s">
        <v>18</v>
      </c>
      <c r="G6" s="57"/>
      <c r="H6" s="57" t="s">
        <v>19</v>
      </c>
      <c r="I6" s="99"/>
      <c r="J6" s="100"/>
      <c r="K6" s="101" t="s">
        <v>17</v>
      </c>
      <c r="L6" s="101"/>
      <c r="M6" s="101" t="s">
        <v>18</v>
      </c>
      <c r="N6" s="57"/>
      <c r="O6" s="57" t="s">
        <v>19</v>
      </c>
      <c r="P6" s="57"/>
    </row>
    <row r="7" ht="13.2" spans="1:16">
      <c r="A7" s="61"/>
      <c r="B7" s="61"/>
      <c r="C7" s="61"/>
      <c r="D7" s="61"/>
      <c r="E7" s="61"/>
      <c r="F7" s="61"/>
      <c r="G7" s="61"/>
      <c r="H7" s="61"/>
      <c r="I7" s="99"/>
      <c r="J7" s="100"/>
      <c r="K7" s="61"/>
      <c r="L7" s="61"/>
      <c r="M7" s="61"/>
      <c r="N7" s="61"/>
      <c r="O7" s="61"/>
      <c r="P7" s="61"/>
    </row>
    <row r="8" ht="13.2" spans="1:16">
      <c r="A8" s="62" t="s">
        <v>20</v>
      </c>
      <c r="B8" s="63">
        <v>1</v>
      </c>
      <c r="C8" s="64" t="s">
        <v>21</v>
      </c>
      <c r="D8" s="65"/>
      <c r="E8" s="66"/>
      <c r="F8" s="66"/>
      <c r="G8" s="66"/>
      <c r="H8" s="67">
        <v>18600000</v>
      </c>
      <c r="I8" s="102" t="s">
        <v>22</v>
      </c>
      <c r="J8" s="103"/>
      <c r="K8" s="103"/>
      <c r="L8" s="103"/>
      <c r="M8" s="103"/>
      <c r="N8" s="66"/>
      <c r="O8" s="71">
        <v>37500000</v>
      </c>
      <c r="P8" s="70" t="s">
        <v>22</v>
      </c>
    </row>
    <row r="9" ht="13.2" spans="1:16">
      <c r="A9" s="61"/>
      <c r="B9" s="63">
        <v>31</v>
      </c>
      <c r="C9" s="68"/>
      <c r="D9" s="69">
        <v>16200000</v>
      </c>
      <c r="E9" s="70"/>
      <c r="F9" s="71">
        <v>29920000</v>
      </c>
      <c r="G9" s="66"/>
      <c r="H9" s="72">
        <f t="shared" ref="H9:H20" si="0">(H8+D9-F9)</f>
        <v>4880000</v>
      </c>
      <c r="I9" s="66"/>
      <c r="J9" s="103"/>
      <c r="K9" s="104">
        <v>39450000</v>
      </c>
      <c r="L9" s="103"/>
      <c r="M9" s="104">
        <f>10000000+14900000</f>
        <v>24900000</v>
      </c>
      <c r="N9" s="66"/>
      <c r="O9" s="105">
        <f t="shared" ref="O9:O16" si="1">(O8+K9-M9)</f>
        <v>52050000</v>
      </c>
      <c r="P9" s="66"/>
    </row>
    <row r="10" ht="13.2" spans="1:16">
      <c r="A10" s="63" t="s">
        <v>23</v>
      </c>
      <c r="B10" s="63">
        <v>28</v>
      </c>
      <c r="C10" s="68"/>
      <c r="D10" s="69">
        <v>20800000</v>
      </c>
      <c r="E10" s="66"/>
      <c r="F10" s="71">
        <v>22540000</v>
      </c>
      <c r="G10" s="66"/>
      <c r="H10" s="72">
        <f t="shared" si="0"/>
        <v>3140000</v>
      </c>
      <c r="I10" s="66"/>
      <c r="J10" s="103"/>
      <c r="K10" s="104">
        <v>11200000</v>
      </c>
      <c r="L10" s="103"/>
      <c r="M10" s="104">
        <v>44295000</v>
      </c>
      <c r="N10" s="66"/>
      <c r="O10" s="105">
        <f t="shared" si="1"/>
        <v>18955000</v>
      </c>
      <c r="P10" s="66"/>
    </row>
    <row r="11" ht="13.2" spans="1:16">
      <c r="A11" s="63" t="s">
        <v>24</v>
      </c>
      <c r="B11" s="63">
        <v>31</v>
      </c>
      <c r="C11" s="68"/>
      <c r="D11" s="69">
        <v>22400000</v>
      </c>
      <c r="E11" s="66"/>
      <c r="F11" s="71">
        <v>23250000</v>
      </c>
      <c r="G11" s="66"/>
      <c r="H11" s="72">
        <f t="shared" si="0"/>
        <v>2290000</v>
      </c>
      <c r="I11" s="66"/>
      <c r="J11" s="103"/>
      <c r="K11" s="104">
        <v>14400000</v>
      </c>
      <c r="L11" s="103"/>
      <c r="M11" s="104">
        <v>7350000</v>
      </c>
      <c r="N11" s="66"/>
      <c r="O11" s="105">
        <f t="shared" si="1"/>
        <v>26005000</v>
      </c>
      <c r="P11" s="66"/>
    </row>
    <row r="12" ht="13.2" spans="1:16">
      <c r="A12" s="63" t="s">
        <v>25</v>
      </c>
      <c r="B12" s="63">
        <v>30</v>
      </c>
      <c r="C12" s="68"/>
      <c r="D12" s="69">
        <v>27200000</v>
      </c>
      <c r="E12" s="66"/>
      <c r="F12" s="71">
        <v>26280000</v>
      </c>
      <c r="G12" s="66"/>
      <c r="H12" s="72">
        <f t="shared" si="0"/>
        <v>3210000</v>
      </c>
      <c r="I12" s="66"/>
      <c r="J12" s="103"/>
      <c r="K12" s="104">
        <v>9600000</v>
      </c>
      <c r="L12" s="103"/>
      <c r="M12" s="104">
        <v>5250000</v>
      </c>
      <c r="N12" s="66"/>
      <c r="O12" s="105">
        <f t="shared" si="1"/>
        <v>30355000</v>
      </c>
      <c r="P12" s="66"/>
    </row>
    <row r="13" ht="13.2" spans="1:16">
      <c r="A13" s="63" t="s">
        <v>26</v>
      </c>
      <c r="B13" s="63">
        <v>31</v>
      </c>
      <c r="C13" s="68"/>
      <c r="D13" s="69">
        <v>28800000</v>
      </c>
      <c r="E13" s="66"/>
      <c r="F13" s="71">
        <v>27900000</v>
      </c>
      <c r="G13" s="66"/>
      <c r="H13" s="72">
        <f t="shared" si="0"/>
        <v>4110000</v>
      </c>
      <c r="I13" s="66"/>
      <c r="J13" s="103"/>
      <c r="K13" s="104">
        <v>9600000</v>
      </c>
      <c r="L13" s="103"/>
      <c r="M13" s="104">
        <v>31050000</v>
      </c>
      <c r="N13" s="66"/>
      <c r="O13" s="105">
        <f t="shared" si="1"/>
        <v>8905000</v>
      </c>
      <c r="P13" s="66"/>
    </row>
    <row r="14" ht="13.2" spans="1:16">
      <c r="A14" s="63" t="s">
        <v>27</v>
      </c>
      <c r="B14" s="63">
        <v>30</v>
      </c>
      <c r="C14" s="68"/>
      <c r="D14" s="69">
        <v>25600000</v>
      </c>
      <c r="E14" s="66"/>
      <c r="F14" s="71">
        <v>20750000</v>
      </c>
      <c r="G14" s="66"/>
      <c r="H14" s="72">
        <f t="shared" si="0"/>
        <v>8960000</v>
      </c>
      <c r="I14" s="66"/>
      <c r="J14" s="103"/>
      <c r="K14" s="104">
        <v>6400000</v>
      </c>
      <c r="L14" s="103"/>
      <c r="M14" s="104">
        <v>14280000</v>
      </c>
      <c r="N14" s="66"/>
      <c r="O14" s="105">
        <f t="shared" si="1"/>
        <v>1025000</v>
      </c>
      <c r="P14" s="66"/>
    </row>
    <row r="15" ht="13.2" spans="1:16">
      <c r="A15" s="63" t="s">
        <v>28</v>
      </c>
      <c r="B15" s="63">
        <v>31</v>
      </c>
      <c r="C15" s="68"/>
      <c r="D15" s="69">
        <v>27000000</v>
      </c>
      <c r="E15" s="70"/>
      <c r="F15" s="71">
        <v>30400000</v>
      </c>
      <c r="G15" s="66"/>
      <c r="H15" s="72">
        <f t="shared" si="0"/>
        <v>5560000</v>
      </c>
      <c r="I15" s="66"/>
      <c r="J15" s="103"/>
      <c r="K15" s="104">
        <v>58800000</v>
      </c>
      <c r="L15" s="103"/>
      <c r="M15" s="104">
        <v>37750000</v>
      </c>
      <c r="N15" s="66"/>
      <c r="O15" s="105">
        <f t="shared" si="1"/>
        <v>22075000</v>
      </c>
      <c r="P15" s="66"/>
    </row>
    <row r="16" ht="13.2" spans="1:16">
      <c r="A16" s="63" t="s">
        <v>29</v>
      </c>
      <c r="B16" s="63">
        <v>31</v>
      </c>
      <c r="C16" s="68"/>
      <c r="D16" s="69">
        <v>30000000</v>
      </c>
      <c r="E16" s="66"/>
      <c r="F16" s="71">
        <v>35010000</v>
      </c>
      <c r="G16" s="66"/>
      <c r="H16" s="72">
        <f t="shared" si="0"/>
        <v>550000</v>
      </c>
      <c r="I16" s="66"/>
      <c r="J16" s="103"/>
      <c r="K16" s="104">
        <v>7500000</v>
      </c>
      <c r="L16" s="103"/>
      <c r="M16" s="104">
        <v>13860000</v>
      </c>
      <c r="N16" s="66"/>
      <c r="O16" s="105">
        <f t="shared" si="1"/>
        <v>15715000</v>
      </c>
      <c r="P16" s="66"/>
    </row>
    <row r="17" ht="13.2" spans="1:16">
      <c r="A17" s="63" t="s">
        <v>30</v>
      </c>
      <c r="B17" s="63">
        <v>30</v>
      </c>
      <c r="C17" s="68"/>
      <c r="D17" s="69">
        <v>42000000</v>
      </c>
      <c r="E17" s="66"/>
      <c r="F17" s="71">
        <v>28800000</v>
      </c>
      <c r="G17" s="66"/>
      <c r="H17" s="72">
        <f t="shared" si="0"/>
        <v>13750000</v>
      </c>
      <c r="I17" s="66"/>
      <c r="J17" s="103"/>
      <c r="K17" s="106">
        <v>0</v>
      </c>
      <c r="L17" s="103"/>
      <c r="M17" s="104">
        <v>10250000</v>
      </c>
      <c r="N17" s="66"/>
      <c r="O17" s="105">
        <f>O16+K17-M17</f>
        <v>5465000</v>
      </c>
      <c r="P17" s="66"/>
    </row>
    <row r="18" ht="13.2" spans="1:16">
      <c r="A18" s="63" t="s">
        <v>31</v>
      </c>
      <c r="B18" s="63">
        <v>31</v>
      </c>
      <c r="C18" s="68"/>
      <c r="D18" s="69">
        <v>39000000</v>
      </c>
      <c r="E18" s="66"/>
      <c r="F18" s="71">
        <v>39440000</v>
      </c>
      <c r="G18" s="66"/>
      <c r="H18" s="72">
        <f t="shared" si="0"/>
        <v>13310000</v>
      </c>
      <c r="I18" s="66"/>
      <c r="J18" s="103"/>
      <c r="K18" s="104">
        <v>7500000</v>
      </c>
      <c r="L18" s="103"/>
      <c r="M18" s="104">
        <v>11275000</v>
      </c>
      <c r="N18" s="66"/>
      <c r="O18" s="105">
        <f t="shared" ref="O18:O20" si="2">(O17+K18-M18)</f>
        <v>1690000</v>
      </c>
      <c r="P18" s="66"/>
    </row>
    <row r="19" ht="13.2" spans="1:16">
      <c r="A19" s="63" t="s">
        <v>32</v>
      </c>
      <c r="B19" s="63">
        <v>30</v>
      </c>
      <c r="C19" s="68"/>
      <c r="D19" s="69">
        <v>39000000</v>
      </c>
      <c r="E19" s="66"/>
      <c r="F19" s="71">
        <v>41440000</v>
      </c>
      <c r="G19" s="66"/>
      <c r="H19" s="72">
        <f t="shared" si="0"/>
        <v>10870000</v>
      </c>
      <c r="I19" s="66"/>
      <c r="J19" s="103"/>
      <c r="K19" s="104">
        <v>70000000</v>
      </c>
      <c r="L19" s="103"/>
      <c r="M19" s="104">
        <v>50250000</v>
      </c>
      <c r="N19" s="66"/>
      <c r="O19" s="105">
        <f t="shared" si="2"/>
        <v>21440000</v>
      </c>
      <c r="P19" s="66"/>
    </row>
    <row r="20" ht="13.2" spans="1:16">
      <c r="A20" s="63" t="s">
        <v>33</v>
      </c>
      <c r="B20" s="63">
        <v>31</v>
      </c>
      <c r="C20" s="64" t="s">
        <v>34</v>
      </c>
      <c r="D20" s="69">
        <v>30000000</v>
      </c>
      <c r="E20" s="66"/>
      <c r="F20" s="71">
        <v>35380000</v>
      </c>
      <c r="G20" s="66"/>
      <c r="H20" s="72">
        <f t="shared" si="0"/>
        <v>5490000</v>
      </c>
      <c r="I20" s="102" t="s">
        <v>22</v>
      </c>
      <c r="J20" s="103"/>
      <c r="K20" s="104">
        <v>10500000</v>
      </c>
      <c r="L20" s="103"/>
      <c r="M20" s="104">
        <v>4000000</v>
      </c>
      <c r="N20" s="66"/>
      <c r="O20" s="105">
        <f t="shared" si="2"/>
        <v>27940000</v>
      </c>
      <c r="P20" s="107" t="s">
        <v>22</v>
      </c>
    </row>
    <row r="21" ht="20.25" customHeight="1" spans="1:16">
      <c r="A21" s="68"/>
      <c r="B21" s="68"/>
      <c r="C21" s="64" t="s">
        <v>35</v>
      </c>
      <c r="D21" s="69">
        <f>SUM(D9:D20)</f>
        <v>348000000</v>
      </c>
      <c r="E21" s="73"/>
      <c r="F21" s="71">
        <f>SUM(F9:F20)</f>
        <v>361110000</v>
      </c>
      <c r="G21" s="73"/>
      <c r="H21" s="72">
        <f>(H8+D21-F21)</f>
        <v>5490000</v>
      </c>
      <c r="I21" s="66"/>
      <c r="J21" s="103"/>
      <c r="K21" s="104">
        <f>SUM(K9:K20)</f>
        <v>244950000</v>
      </c>
      <c r="L21" s="103"/>
      <c r="M21" s="104">
        <f>SUM(M9:M20)</f>
        <v>254510000</v>
      </c>
      <c r="N21" s="66"/>
      <c r="O21" s="105">
        <f>(O8+K21-M21)</f>
        <v>27940000</v>
      </c>
      <c r="P21" s="66"/>
    </row>
    <row r="22" ht="17.4" spans="1:16">
      <c r="A22" s="74"/>
      <c r="B22" s="74"/>
      <c r="C22" s="74" t="s">
        <v>36</v>
      </c>
      <c r="D22" s="74"/>
      <c r="E22" s="74"/>
      <c r="F22" s="75">
        <f>(BAP!G30)</f>
        <v>95000</v>
      </c>
      <c r="G22" s="76" t="s">
        <v>37</v>
      </c>
      <c r="H22" s="74"/>
      <c r="I22" s="74"/>
      <c r="J22" s="108"/>
      <c r="K22" s="108"/>
      <c r="L22" s="108"/>
      <c r="M22" s="108"/>
      <c r="N22" s="74"/>
      <c r="O22" s="74"/>
      <c r="P22" s="74"/>
    </row>
    <row r="23" ht="15.6" spans="1:16">
      <c r="A23" s="77"/>
      <c r="B23" s="78"/>
      <c r="C23" s="79" t="s">
        <v>38</v>
      </c>
      <c r="D23" s="80">
        <f>(D21)</f>
        <v>348000000</v>
      </c>
      <c r="E23" s="79"/>
      <c r="F23" s="80">
        <f>(F21+F22)</f>
        <v>361205000</v>
      </c>
      <c r="G23" s="79"/>
      <c r="H23" s="81">
        <f>H8+D23-F23</f>
        <v>5395000</v>
      </c>
      <c r="I23" s="79"/>
      <c r="J23" s="79"/>
      <c r="K23" s="109"/>
      <c r="L23" s="109"/>
      <c r="M23" s="109"/>
      <c r="N23" s="109"/>
      <c r="O23" s="109"/>
      <c r="P23" s="109"/>
    </row>
    <row r="24" ht="15.6" spans="1:10">
      <c r="A24" s="82"/>
      <c r="B24" s="83"/>
      <c r="C24" s="84"/>
      <c r="D24" s="84"/>
      <c r="E24" s="84"/>
      <c r="F24" s="84"/>
      <c r="G24" s="84"/>
      <c r="H24" s="84"/>
      <c r="I24" s="84"/>
      <c r="J24" s="84"/>
    </row>
    <row r="25" ht="18" customHeight="1" spans="1:10">
      <c r="A25" s="85"/>
      <c r="B25" s="83"/>
      <c r="C25" s="84"/>
      <c r="D25" s="84"/>
      <c r="E25" s="84"/>
      <c r="F25" s="84"/>
      <c r="G25" s="84"/>
      <c r="H25" s="84"/>
      <c r="I25" s="84"/>
      <c r="J25" s="84"/>
    </row>
    <row r="26" ht="15.6" spans="1:10">
      <c r="A26" s="85"/>
      <c r="B26" s="83"/>
      <c r="C26" s="84"/>
      <c r="D26" s="84"/>
      <c r="E26" s="84"/>
      <c r="F26" s="84"/>
      <c r="G26" s="84"/>
      <c r="H26" s="84"/>
      <c r="I26" s="84"/>
      <c r="J26" s="84"/>
    </row>
    <row r="28" customHeight="1" spans="2:9">
      <c r="B28" s="86" t="s">
        <v>36</v>
      </c>
      <c r="C28" s="1" t="s">
        <v>39</v>
      </c>
      <c r="D28" s="1"/>
      <c r="E28" s="1"/>
      <c r="F28" s="9">
        <f>F22</f>
        <v>95000</v>
      </c>
      <c r="G28" s="1"/>
      <c r="H28" s="1"/>
      <c r="I28" s="1"/>
    </row>
    <row r="29" customHeight="1" spans="2:9">
      <c r="B29" s="1"/>
      <c r="C29" s="1"/>
      <c r="D29" s="1" t="s">
        <v>13</v>
      </c>
      <c r="E29" s="1"/>
      <c r="F29" s="1"/>
      <c r="G29" s="1"/>
      <c r="H29" s="9">
        <f>F22</f>
        <v>95000</v>
      </c>
      <c r="I29" s="1"/>
    </row>
    <row r="33" customHeight="1" spans="1:10">
      <c r="A33" s="87" t="s">
        <v>40</v>
      </c>
      <c r="B33" s="88"/>
      <c r="C33" s="89"/>
      <c r="D33" s="89"/>
      <c r="E33" s="89"/>
      <c r="F33" s="89"/>
      <c r="G33" s="89"/>
      <c r="H33" s="89"/>
      <c r="I33" s="89"/>
      <c r="J33" s="89"/>
    </row>
    <row r="34" customHeight="1" spans="1:10">
      <c r="A34" s="90" t="s">
        <v>22</v>
      </c>
      <c r="B34" s="91" t="s">
        <v>41</v>
      </c>
      <c r="C34" s="89" t="s">
        <v>42</v>
      </c>
      <c r="D34" s="89"/>
      <c r="E34" s="89"/>
      <c r="F34" s="89"/>
      <c r="G34" s="89"/>
      <c r="H34" s="89"/>
      <c r="I34" s="89"/>
      <c r="J34" s="89"/>
    </row>
    <row r="35" customHeight="1" spans="1:10">
      <c r="A35" s="92"/>
      <c r="B35" s="91" t="s">
        <v>43</v>
      </c>
      <c r="C35" s="89" t="s">
        <v>44</v>
      </c>
      <c r="D35" s="89"/>
      <c r="E35" s="89"/>
      <c r="F35" s="89"/>
      <c r="G35" s="89"/>
      <c r="H35" s="89"/>
      <c r="I35" s="89"/>
      <c r="J35" s="89"/>
    </row>
    <row r="36" customHeight="1" spans="1:10">
      <c r="A36" s="92"/>
      <c r="B36" s="91" t="s">
        <v>45</v>
      </c>
      <c r="C36" s="89" t="s">
        <v>46</v>
      </c>
      <c r="D36" s="89"/>
      <c r="E36" s="89"/>
      <c r="F36" s="89"/>
      <c r="G36" s="89"/>
      <c r="H36" s="89"/>
      <c r="I36" s="89"/>
      <c r="J36" s="89"/>
    </row>
    <row r="37" customHeight="1" spans="1:10">
      <c r="A37" s="93" t="s">
        <v>37</v>
      </c>
      <c r="B37" s="88" t="s">
        <v>47</v>
      </c>
      <c r="C37" s="89" t="s">
        <v>48</v>
      </c>
      <c r="D37" s="32"/>
      <c r="E37" s="32"/>
      <c r="F37" s="32"/>
      <c r="G37" s="32"/>
      <c r="H37" s="32"/>
      <c r="I37" s="32"/>
      <c r="J37" s="32"/>
    </row>
  </sheetData>
  <mergeCells count="28">
    <mergeCell ref="L1:N1"/>
    <mergeCell ref="L2:N2"/>
    <mergeCell ref="L3:N3"/>
    <mergeCell ref="D5:I5"/>
    <mergeCell ref="K5:P5"/>
    <mergeCell ref="C24:J24"/>
    <mergeCell ref="C25:J25"/>
    <mergeCell ref="C26:J26"/>
    <mergeCell ref="C34:J34"/>
    <mergeCell ref="C35:J35"/>
    <mergeCell ref="C36:J36"/>
    <mergeCell ref="A6:A7"/>
    <mergeCell ref="A8:A9"/>
    <mergeCell ref="B6:B7"/>
    <mergeCell ref="C5:C7"/>
    <mergeCell ref="D6:D7"/>
    <mergeCell ref="E6:E7"/>
    <mergeCell ref="F6:F7"/>
    <mergeCell ref="G6:G7"/>
    <mergeCell ref="H6:H7"/>
    <mergeCell ref="I1:I3"/>
    <mergeCell ref="J1:J3"/>
    <mergeCell ref="K6:K7"/>
    <mergeCell ref="L6:L7"/>
    <mergeCell ref="M6:M7"/>
    <mergeCell ref="N6:N7"/>
    <mergeCell ref="O6:O7"/>
    <mergeCell ref="P6:P7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46"/>
  <sheetViews>
    <sheetView zoomScale="89" zoomScaleNormal="89" topLeftCell="A20" workbookViewId="0">
      <selection activeCell="C42" sqref="C42"/>
    </sheetView>
  </sheetViews>
  <sheetFormatPr defaultColWidth="12.6296296296296" defaultRowHeight="15.75" customHeight="1"/>
  <cols>
    <col min="1" max="1" width="3.77777777777778" style="1" customWidth="1"/>
    <col min="2" max="16384" width="12.6296296296296" style="1"/>
  </cols>
  <sheetData>
    <row r="1" customHeight="1" spans="5:8">
      <c r="E1" s="6"/>
      <c r="F1" s="23" t="s">
        <v>49</v>
      </c>
      <c r="G1" s="24"/>
      <c r="H1" s="25"/>
    </row>
    <row r="2" customHeight="1" spans="5:8">
      <c r="E2" s="8"/>
      <c r="F2" s="25" t="s">
        <v>50</v>
      </c>
      <c r="G2" s="26"/>
      <c r="H2" s="25"/>
    </row>
    <row r="3" customHeight="1" spans="5:8">
      <c r="E3" s="18"/>
      <c r="F3" s="27" t="s">
        <v>51</v>
      </c>
      <c r="G3" s="28"/>
      <c r="H3" s="25"/>
    </row>
    <row r="5" customHeight="1" spans="1:10">
      <c r="A5" s="29" t="s">
        <v>52</v>
      </c>
      <c r="B5" s="7" t="s">
        <v>53</v>
      </c>
      <c r="C5" s="7"/>
      <c r="D5" s="7"/>
      <c r="E5" s="7"/>
      <c r="F5" s="7"/>
      <c r="G5" s="7"/>
      <c r="H5" s="7"/>
      <c r="I5" s="37"/>
      <c r="J5" s="38">
        <f>('Kertas Kerja Kas &amp; Bank'!H21)</f>
        <v>5490000</v>
      </c>
    </row>
    <row r="6" customHeight="1" spans="1:10">
      <c r="A6" s="30"/>
      <c r="B6" s="1" t="s">
        <v>54</v>
      </c>
      <c r="J6" s="17"/>
    </row>
    <row r="7" customHeight="1" spans="1:10">
      <c r="A7" s="30" t="s">
        <v>55</v>
      </c>
      <c r="B7" s="1" t="s">
        <v>56</v>
      </c>
      <c r="D7" s="31">
        <v>100000</v>
      </c>
      <c r="E7" s="1" t="s">
        <v>7</v>
      </c>
      <c r="F7" s="1">
        <v>22</v>
      </c>
      <c r="G7" s="1" t="s">
        <v>57</v>
      </c>
      <c r="H7" s="1"/>
      <c r="I7" s="9">
        <f>(D7*F7)</f>
        <v>2200000</v>
      </c>
      <c r="J7" s="17"/>
    </row>
    <row r="8" customHeight="1" spans="1:10">
      <c r="A8" s="30"/>
      <c r="B8" s="1" t="s">
        <v>56</v>
      </c>
      <c r="D8" s="31">
        <v>50000</v>
      </c>
      <c r="E8" s="1" t="s">
        <v>7</v>
      </c>
      <c r="F8" s="1">
        <v>10</v>
      </c>
      <c r="G8" s="1" t="s">
        <v>57</v>
      </c>
      <c r="I8" s="9">
        <f>(D8*F8)</f>
        <v>500000</v>
      </c>
      <c r="J8" s="17"/>
    </row>
    <row r="9" customHeight="1" spans="1:10">
      <c r="A9" s="30"/>
      <c r="B9" s="1" t="s">
        <v>56</v>
      </c>
      <c r="D9" s="31">
        <v>20000</v>
      </c>
      <c r="E9" s="1" t="s">
        <v>7</v>
      </c>
      <c r="F9" s="1">
        <v>60</v>
      </c>
      <c r="G9" s="1" t="s">
        <v>57</v>
      </c>
      <c r="H9" s="32"/>
      <c r="I9" s="9">
        <f>(D9*F9)</f>
        <v>1200000</v>
      </c>
      <c r="J9" s="17"/>
    </row>
    <row r="10" customHeight="1" spans="1:10">
      <c r="A10" s="30"/>
      <c r="B10" s="1" t="s">
        <v>56</v>
      </c>
      <c r="D10" s="31">
        <v>10000</v>
      </c>
      <c r="E10" s="1" t="s">
        <v>7</v>
      </c>
      <c r="F10" s="1">
        <v>100</v>
      </c>
      <c r="G10" s="1" t="s">
        <v>57</v>
      </c>
      <c r="H10" s="33"/>
      <c r="I10" s="9">
        <f>(D10*F10)</f>
        <v>1000000</v>
      </c>
      <c r="J10" s="17"/>
    </row>
    <row r="11" customHeight="1" spans="1:10">
      <c r="A11" s="30"/>
      <c r="B11" s="1" t="s">
        <v>56</v>
      </c>
      <c r="D11" s="31">
        <v>5000</v>
      </c>
      <c r="E11" s="1" t="s">
        <v>7</v>
      </c>
      <c r="F11" s="1">
        <v>90</v>
      </c>
      <c r="G11" s="1" t="s">
        <v>57</v>
      </c>
      <c r="I11" s="9">
        <f>(D11*F11)</f>
        <v>450000</v>
      </c>
      <c r="J11" s="17"/>
    </row>
    <row r="12" customHeight="1" spans="1:10">
      <c r="A12" s="30"/>
      <c r="B12" s="1" t="s">
        <v>56</v>
      </c>
      <c r="D12" s="31">
        <v>2000</v>
      </c>
      <c r="E12" s="1" t="s">
        <v>7</v>
      </c>
      <c r="F12" s="1">
        <v>10</v>
      </c>
      <c r="G12" s="1" t="s">
        <v>57</v>
      </c>
      <c r="I12" s="9">
        <f>(D12*F12)</f>
        <v>20000</v>
      </c>
      <c r="J12" s="17"/>
    </row>
    <row r="13" customHeight="1" spans="1:10">
      <c r="A13" s="30"/>
      <c r="B13" s="1" t="s">
        <v>56</v>
      </c>
      <c r="D13" s="31">
        <v>1000</v>
      </c>
      <c r="E13" s="1" t="s">
        <v>7</v>
      </c>
      <c r="F13" s="1">
        <v>5</v>
      </c>
      <c r="G13" s="1" t="s">
        <v>57</v>
      </c>
      <c r="I13" s="9">
        <f>(D13*F13)</f>
        <v>5000</v>
      </c>
      <c r="J13" s="17"/>
    </row>
    <row r="14" customHeight="1" spans="1:10">
      <c r="A14" s="30"/>
      <c r="B14" s="1" t="s">
        <v>56</v>
      </c>
      <c r="D14" s="1">
        <v>500</v>
      </c>
      <c r="E14" s="1" t="s">
        <v>7</v>
      </c>
      <c r="F14" s="34" t="s">
        <v>58</v>
      </c>
      <c r="G14" s="1" t="s">
        <v>57</v>
      </c>
      <c r="I14" s="39" t="s">
        <v>58</v>
      </c>
      <c r="J14" s="17"/>
    </row>
    <row r="15" customHeight="1" spans="1:10">
      <c r="A15" s="30"/>
      <c r="B15" s="1" t="s">
        <v>56</v>
      </c>
      <c r="D15" s="1">
        <v>100</v>
      </c>
      <c r="E15" s="1" t="s">
        <v>7</v>
      </c>
      <c r="F15" s="1" t="s">
        <v>58</v>
      </c>
      <c r="G15" s="1" t="s">
        <v>57</v>
      </c>
      <c r="I15" s="39" t="s">
        <v>58</v>
      </c>
      <c r="J15" s="17"/>
    </row>
    <row r="16" customHeight="1" spans="1:10">
      <c r="A16" s="30"/>
      <c r="I16" s="40">
        <f>(I7+I8+I9+I10+I11+I12+I13)</f>
        <v>5375000</v>
      </c>
      <c r="J16" s="17"/>
    </row>
    <row r="17" customHeight="1" spans="1:10">
      <c r="A17" s="30"/>
      <c r="I17" s="35"/>
      <c r="J17" s="17"/>
    </row>
    <row r="18" customHeight="1" spans="1:10">
      <c r="A18" s="30" t="s">
        <v>59</v>
      </c>
      <c r="B18" s="1" t="s">
        <v>60</v>
      </c>
      <c r="D18" s="9">
        <v>1000</v>
      </c>
      <c r="E18" s="1" t="s">
        <v>7</v>
      </c>
      <c r="F18" s="1">
        <v>20</v>
      </c>
      <c r="G18" s="1" t="s">
        <v>61</v>
      </c>
      <c r="I18" s="9">
        <f>(D18*F18)</f>
        <v>20000</v>
      </c>
      <c r="J18" s="17"/>
    </row>
    <row r="19" customHeight="1" spans="1:10">
      <c r="A19" s="30"/>
      <c r="B19" s="1" t="s">
        <v>60</v>
      </c>
      <c r="D19" s="1">
        <v>500</v>
      </c>
      <c r="E19" s="1" t="s">
        <v>7</v>
      </c>
      <c r="F19" s="1" t="s">
        <v>58</v>
      </c>
      <c r="G19" s="1" t="s">
        <v>61</v>
      </c>
      <c r="I19" s="39" t="s">
        <v>58</v>
      </c>
      <c r="J19" s="17"/>
    </row>
    <row r="20" customHeight="1" spans="1:10">
      <c r="A20" s="30"/>
      <c r="B20" s="1" t="s">
        <v>60</v>
      </c>
      <c r="D20" s="1">
        <v>100</v>
      </c>
      <c r="E20" s="1" t="s">
        <v>7</v>
      </c>
      <c r="F20" s="1" t="s">
        <v>58</v>
      </c>
      <c r="G20" s="1" t="s">
        <v>61</v>
      </c>
      <c r="I20" s="41" t="s">
        <v>58</v>
      </c>
      <c r="J20" s="17"/>
    </row>
    <row r="21" customHeight="1" spans="1:10">
      <c r="A21" s="30"/>
      <c r="B21" s="1" t="s">
        <v>60</v>
      </c>
      <c r="D21" s="1">
        <v>50</v>
      </c>
      <c r="E21" s="1" t="s">
        <v>7</v>
      </c>
      <c r="F21" s="1" t="s">
        <v>58</v>
      </c>
      <c r="G21" s="1" t="s">
        <v>61</v>
      </c>
      <c r="I21" s="39" t="s">
        <v>58</v>
      </c>
      <c r="J21" s="17"/>
    </row>
    <row r="22" customHeight="1" spans="1:10">
      <c r="A22" s="30"/>
      <c r="B22" s="1" t="s">
        <v>60</v>
      </c>
      <c r="D22" s="1">
        <v>25</v>
      </c>
      <c r="E22" s="1" t="s">
        <v>7</v>
      </c>
      <c r="F22" s="1" t="s">
        <v>58</v>
      </c>
      <c r="G22" s="1" t="s">
        <v>61</v>
      </c>
      <c r="I22" s="39" t="s">
        <v>58</v>
      </c>
      <c r="J22" s="17"/>
    </row>
    <row r="23" customHeight="1" spans="1:10">
      <c r="A23" s="30"/>
      <c r="I23" s="42">
        <f>(I18)</f>
        <v>20000</v>
      </c>
      <c r="J23" s="17"/>
    </row>
    <row r="24" customHeight="1" spans="1:10">
      <c r="A24" s="30"/>
      <c r="G24" s="35"/>
      <c r="I24" s="32"/>
      <c r="J24" s="17"/>
    </row>
    <row r="25" customHeight="1" spans="1:10">
      <c r="A25" s="30" t="s">
        <v>62</v>
      </c>
      <c r="B25" s="1" t="s">
        <v>63</v>
      </c>
      <c r="J25" s="17"/>
    </row>
    <row r="26" customHeight="1" spans="1:10">
      <c r="A26" s="30"/>
      <c r="J26" s="17"/>
    </row>
    <row r="27" customHeight="1" spans="1:10">
      <c r="A27" s="30"/>
      <c r="J27" s="17"/>
    </row>
    <row r="28" customHeight="1" spans="1:10">
      <c r="A28" s="30"/>
      <c r="J28" s="17"/>
    </row>
    <row r="29" customHeight="1" spans="1:10">
      <c r="A29" s="30"/>
      <c r="J29" s="17"/>
    </row>
    <row r="30" customHeight="1" spans="1:10">
      <c r="A30" s="30"/>
      <c r="D30" s="1" t="s">
        <v>64</v>
      </c>
      <c r="I30" s="42">
        <f>(I16+I23)</f>
        <v>5395000</v>
      </c>
      <c r="J30" s="17"/>
    </row>
    <row r="31" customHeight="1" spans="1:10">
      <c r="A31" s="30"/>
      <c r="I31" s="32"/>
      <c r="J31" s="17"/>
    </row>
    <row r="32" customHeight="1" spans="1:10">
      <c r="A32" s="30"/>
      <c r="J32" s="17"/>
    </row>
    <row r="33" customHeight="1" spans="1:10">
      <c r="A33" s="30" t="s">
        <v>65</v>
      </c>
      <c r="B33" s="1" t="s">
        <v>66</v>
      </c>
      <c r="I33" s="12">
        <f>(J5)</f>
        <v>5490000</v>
      </c>
      <c r="J33" s="17"/>
    </row>
    <row r="34" customHeight="1" spans="1:10">
      <c r="A34" s="30"/>
      <c r="B34" s="1" t="s">
        <v>67</v>
      </c>
      <c r="I34" s="9"/>
      <c r="J34" s="17"/>
    </row>
    <row r="35" customHeight="1" spans="1:10">
      <c r="A35" s="30"/>
      <c r="B35" s="1"/>
      <c r="E35" s="11"/>
      <c r="I35" s="9"/>
      <c r="J35" s="17"/>
    </row>
    <row r="36" customHeight="1" spans="1:10">
      <c r="A36" s="30"/>
      <c r="B36" s="1" t="s">
        <v>68</v>
      </c>
      <c r="E36" s="11" t="s">
        <v>69</v>
      </c>
      <c r="I36" s="43">
        <f>-(I30-I33)</f>
        <v>95000</v>
      </c>
      <c r="J36" s="17"/>
    </row>
    <row r="37" customHeight="1" spans="1:10">
      <c r="A37" s="30"/>
      <c r="B37" s="1"/>
      <c r="I37" s="32"/>
      <c r="J37" s="17"/>
    </row>
    <row r="38" customHeight="1" spans="1:10">
      <c r="A38" s="30" t="s">
        <v>70</v>
      </c>
      <c r="B38" s="1" t="s">
        <v>71</v>
      </c>
      <c r="D38" s="1" t="s">
        <v>72</v>
      </c>
      <c r="J38" s="17"/>
    </row>
    <row r="39" customHeight="1" spans="1:10">
      <c r="A39" s="36"/>
      <c r="B39" s="19"/>
      <c r="C39" s="19"/>
      <c r="D39" s="19"/>
      <c r="E39" s="19"/>
      <c r="F39" s="19"/>
      <c r="G39" s="19"/>
      <c r="H39" s="19"/>
      <c r="I39" s="19"/>
      <c r="J39" s="20"/>
    </row>
    <row r="41" customHeight="1" spans="2:11">
      <c r="B41" s="16" t="s">
        <v>73</v>
      </c>
      <c r="C41" s="7"/>
      <c r="D41" s="7"/>
      <c r="E41" s="15"/>
      <c r="H41" s="16" t="s">
        <v>74</v>
      </c>
      <c r="I41" s="7"/>
      <c r="J41" s="7"/>
      <c r="K41" s="15"/>
    </row>
    <row r="42" customHeight="1" spans="2:11">
      <c r="B42" s="8" t="s">
        <v>75</v>
      </c>
      <c r="C42" s="11" t="s">
        <v>76</v>
      </c>
      <c r="E42" s="17"/>
      <c r="H42" s="8" t="s">
        <v>75</v>
      </c>
      <c r="I42" s="11" t="s">
        <v>77</v>
      </c>
      <c r="K42" s="17"/>
    </row>
    <row r="43" customHeight="1" spans="2:11">
      <c r="B43" s="8"/>
      <c r="E43" s="17"/>
      <c r="H43" s="8" t="s">
        <v>78</v>
      </c>
      <c r="I43" s="11" t="s">
        <v>79</v>
      </c>
      <c r="K43" s="17"/>
    </row>
    <row r="44" customHeight="1" spans="2:11">
      <c r="B44" s="8" t="s">
        <v>80</v>
      </c>
      <c r="C44" s="1" t="s">
        <v>81</v>
      </c>
      <c r="E44" s="17"/>
      <c r="H44" s="8" t="s">
        <v>80</v>
      </c>
      <c r="I44" s="1" t="s">
        <v>7</v>
      </c>
      <c r="K44" s="17"/>
    </row>
    <row r="45" customHeight="1" spans="2:11">
      <c r="B45" s="8"/>
      <c r="E45" s="17"/>
      <c r="H45" s="8"/>
      <c r="K45" s="17"/>
    </row>
    <row r="46" customHeight="1" spans="2:11">
      <c r="B46" s="18" t="s">
        <v>82</v>
      </c>
      <c r="C46" s="19" t="s">
        <v>7</v>
      </c>
      <c r="D46" s="19"/>
      <c r="E46" s="20"/>
      <c r="H46" s="18"/>
      <c r="I46" s="19"/>
      <c r="J46" s="19"/>
      <c r="K46" s="20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9"/>
  <sheetViews>
    <sheetView zoomScale="71" zoomScaleNormal="71" workbookViewId="0">
      <selection activeCell="H34" sqref="H34"/>
    </sheetView>
  </sheetViews>
  <sheetFormatPr defaultColWidth="8.88888888888889" defaultRowHeight="13.2"/>
  <cols>
    <col min="1" max="1" width="12.3518518518519" style="1" customWidth="1"/>
    <col min="2" max="6" width="8.88888888888889" style="1"/>
    <col min="7" max="7" width="11.2592592592593" style="1" customWidth="1"/>
    <col min="8" max="16384" width="8.88888888888889" style="1"/>
  </cols>
  <sheetData>
    <row r="1" spans="7:12">
      <c r="G1" s="2" t="s">
        <v>83</v>
      </c>
      <c r="H1" s="3"/>
      <c r="I1" s="3"/>
      <c r="J1" s="3"/>
      <c r="K1" s="21"/>
      <c r="L1" s="10"/>
    </row>
    <row r="2" spans="7:12">
      <c r="G2" s="4" t="s">
        <v>84</v>
      </c>
      <c r="H2" s="5"/>
      <c r="I2" s="5"/>
      <c r="J2" s="5"/>
      <c r="K2" s="22"/>
      <c r="L2" s="10"/>
    </row>
    <row r="3" spans="12:12">
      <c r="L3" s="10"/>
    </row>
    <row r="4" spans="1:12">
      <c r="A4" s="6" t="s">
        <v>85</v>
      </c>
      <c r="B4" s="7"/>
      <c r="C4" s="7"/>
      <c r="D4" s="7"/>
      <c r="E4" s="7"/>
      <c r="F4" s="7"/>
      <c r="G4" s="7"/>
      <c r="H4" s="7"/>
      <c r="I4" s="7"/>
      <c r="J4" s="7"/>
      <c r="K4" s="7"/>
      <c r="L4" s="15"/>
    </row>
    <row r="5" spans="1:12">
      <c r="A5" s="8"/>
      <c r="L5" s="17"/>
    </row>
    <row r="6" spans="1:12">
      <c r="A6" s="8"/>
      <c r="B6" s="1" t="s">
        <v>55</v>
      </c>
      <c r="C6" s="1" t="s">
        <v>86</v>
      </c>
      <c r="E6" s="1" t="s">
        <v>77</v>
      </c>
      <c r="L6" s="17"/>
    </row>
    <row r="7" spans="1:12">
      <c r="A7" s="8"/>
      <c r="C7" s="1" t="s">
        <v>78</v>
      </c>
      <c r="E7" s="1" t="s">
        <v>79</v>
      </c>
      <c r="L7" s="17"/>
    </row>
    <row r="8" spans="1:12">
      <c r="A8" s="8"/>
      <c r="L8" s="17"/>
    </row>
    <row r="9" spans="1:12">
      <c r="A9" s="8"/>
      <c r="B9" s="1" t="s">
        <v>59</v>
      </c>
      <c r="C9" s="1" t="s">
        <v>86</v>
      </c>
      <c r="E9" s="1" t="s">
        <v>7</v>
      </c>
      <c r="L9" s="17"/>
    </row>
    <row r="10" spans="1:12">
      <c r="A10" s="8"/>
      <c r="C10" s="1" t="s">
        <v>78</v>
      </c>
      <c r="E10" s="1" t="s">
        <v>7</v>
      </c>
      <c r="L10" s="17"/>
    </row>
    <row r="11" spans="1:12">
      <c r="A11" s="8"/>
      <c r="L11" s="17"/>
    </row>
    <row r="12" spans="1:12">
      <c r="A12" s="8" t="s">
        <v>87</v>
      </c>
      <c r="L12" s="17"/>
    </row>
    <row r="13" spans="1:12">
      <c r="A13" s="8"/>
      <c r="L13" s="17"/>
    </row>
    <row r="14" spans="1:12">
      <c r="A14" s="8"/>
      <c r="C14" s="1" t="s">
        <v>86</v>
      </c>
      <c r="E14" s="1" t="s">
        <v>76</v>
      </c>
      <c r="L14" s="17"/>
    </row>
    <row r="15" spans="1:12">
      <c r="A15" s="8"/>
      <c r="C15" s="1" t="s">
        <v>78</v>
      </c>
      <c r="E15" s="1" t="s">
        <v>88</v>
      </c>
      <c r="L15" s="17"/>
    </row>
    <row r="16" spans="1:12">
      <c r="A16" s="8"/>
      <c r="C16" s="1" t="s">
        <v>89</v>
      </c>
      <c r="E16" s="1" t="s">
        <v>90</v>
      </c>
      <c r="L16" s="17"/>
    </row>
    <row r="17" spans="1:12">
      <c r="A17" s="8"/>
      <c r="L17" s="17"/>
    </row>
    <row r="18" spans="1:12">
      <c r="A18" s="8"/>
      <c r="L18" s="17"/>
    </row>
    <row r="19" spans="1:12">
      <c r="A19" s="8" t="s">
        <v>91</v>
      </c>
      <c r="L19" s="17"/>
    </row>
    <row r="20" spans="1:12">
      <c r="A20" s="8"/>
      <c r="L20" s="17"/>
    </row>
    <row r="21" spans="1:12">
      <c r="A21" s="8"/>
      <c r="B21" s="1" t="s">
        <v>92</v>
      </c>
      <c r="C21" s="1" t="s">
        <v>93</v>
      </c>
      <c r="G21" s="9">
        <f>('Rincian Pemeriksaan Kas'!I30)</f>
        <v>5395000</v>
      </c>
      <c r="L21" s="17"/>
    </row>
    <row r="22" spans="1:12">
      <c r="A22" s="8"/>
      <c r="B22" s="1" t="s">
        <v>94</v>
      </c>
      <c r="C22" s="1" t="s">
        <v>95</v>
      </c>
      <c r="G22" s="10" t="s">
        <v>58</v>
      </c>
      <c r="L22" s="17"/>
    </row>
    <row r="23" spans="1:12">
      <c r="A23" s="8"/>
      <c r="L23" s="17"/>
    </row>
    <row r="24" spans="1:12">
      <c r="A24" s="8"/>
      <c r="D24" s="1" t="s">
        <v>96</v>
      </c>
      <c r="G24" s="9">
        <f>(G21)</f>
        <v>5395000</v>
      </c>
      <c r="L24" s="17"/>
    </row>
    <row r="25" spans="1:12">
      <c r="A25" s="8"/>
      <c r="L25" s="17"/>
    </row>
    <row r="26" spans="1:12">
      <c r="A26" s="8" t="s">
        <v>97</v>
      </c>
      <c r="L26" s="17"/>
    </row>
    <row r="27" spans="1:12">
      <c r="A27" s="8" t="s">
        <v>98</v>
      </c>
      <c r="C27" s="11" t="s">
        <v>99</v>
      </c>
      <c r="G27" s="12">
        <f>('Kertas Kerja Kas &amp; Bank'!H21)</f>
        <v>5490000</v>
      </c>
      <c r="L27" s="17"/>
    </row>
    <row r="28" spans="1:12">
      <c r="A28" s="8"/>
      <c r="L28" s="17"/>
    </row>
    <row r="29" spans="1:12">
      <c r="A29" s="8" t="s">
        <v>100</v>
      </c>
      <c r="L29" s="17"/>
    </row>
    <row r="30" spans="1:12">
      <c r="A30" s="8" t="s">
        <v>101</v>
      </c>
      <c r="G30" s="9">
        <f>('Rincian Pemeriksaan Kas'!I36)</f>
        <v>95000</v>
      </c>
      <c r="L30" s="17"/>
    </row>
    <row r="31" spans="1:12">
      <c r="A31" s="8"/>
      <c r="L31" s="17"/>
    </row>
    <row r="32" spans="1:12">
      <c r="A32" s="8"/>
      <c r="L32" s="17"/>
    </row>
    <row r="33" spans="1:12">
      <c r="A33" s="13" t="s">
        <v>73</v>
      </c>
      <c r="B33" s="14"/>
      <c r="C33" s="7"/>
      <c r="D33" s="7"/>
      <c r="E33" s="15"/>
      <c r="F33" s="1"/>
      <c r="G33" s="16" t="s">
        <v>74</v>
      </c>
      <c r="H33" s="7"/>
      <c r="I33" s="7"/>
      <c r="J33" s="7"/>
      <c r="K33" s="15"/>
      <c r="L33" s="17"/>
    </row>
    <row r="34" spans="1:12">
      <c r="A34" s="8" t="s">
        <v>75</v>
      </c>
      <c r="B34" s="11" t="s">
        <v>76</v>
      </c>
      <c r="C34" s="1"/>
      <c r="D34" s="1"/>
      <c r="E34" s="17"/>
      <c r="F34" s="1"/>
      <c r="G34" s="8" t="s">
        <v>75</v>
      </c>
      <c r="H34" s="11" t="s">
        <v>77</v>
      </c>
      <c r="I34" s="1"/>
      <c r="K34" s="17"/>
      <c r="L34" s="17"/>
    </row>
    <row r="35" spans="1:12">
      <c r="A35" s="8"/>
      <c r="B35" s="1"/>
      <c r="C35" s="1"/>
      <c r="D35" s="1"/>
      <c r="E35" s="17"/>
      <c r="F35" s="1"/>
      <c r="G35" s="8" t="s">
        <v>78</v>
      </c>
      <c r="H35" s="1" t="s">
        <v>79</v>
      </c>
      <c r="I35" s="1"/>
      <c r="K35" s="17"/>
      <c r="L35" s="17"/>
    </row>
    <row r="36" spans="1:12">
      <c r="A36" s="8" t="s">
        <v>80</v>
      </c>
      <c r="B36" s="1" t="s">
        <v>81</v>
      </c>
      <c r="C36" s="1"/>
      <c r="D36" s="1"/>
      <c r="E36" s="17"/>
      <c r="F36" s="1"/>
      <c r="G36" s="8" t="s">
        <v>80</v>
      </c>
      <c r="H36" s="1" t="s">
        <v>7</v>
      </c>
      <c r="I36" s="1"/>
      <c r="K36" s="17"/>
      <c r="L36" s="17"/>
    </row>
    <row r="37" spans="1:12">
      <c r="A37" s="8"/>
      <c r="E37" s="17"/>
      <c r="G37" s="8"/>
      <c r="K37" s="17"/>
      <c r="L37" s="17"/>
    </row>
    <row r="38" spans="1:12">
      <c r="A38" s="18" t="s">
        <v>82</v>
      </c>
      <c r="B38" s="19" t="s">
        <v>7</v>
      </c>
      <c r="C38" s="19"/>
      <c r="D38" s="19"/>
      <c r="E38" s="20"/>
      <c r="G38" s="18"/>
      <c r="H38" s="19"/>
      <c r="I38" s="19"/>
      <c r="J38" s="19"/>
      <c r="K38" s="20"/>
      <c r="L38" s="17"/>
    </row>
    <row r="39" spans="1:12">
      <c r="A39" s="18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20"/>
    </row>
  </sheetData>
  <mergeCells count="3">
    <mergeCell ref="G1:K1"/>
    <mergeCell ref="G2:K2"/>
    <mergeCell ref="G3:K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Spreadsheet WPS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Kertas Kerja Kas &amp; Bank</vt:lpstr>
      <vt:lpstr>Rincian Pemeriksaan Kas</vt:lpstr>
      <vt:lpstr>BAP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Magdalena Margareth</cp:lastModifiedBy>
  <dcterms:created xsi:type="dcterms:W3CDTF">2026-03-19T04:00:00Z</dcterms:created>
  <dcterms:modified xsi:type="dcterms:W3CDTF">2026-04-01T03:39:00Z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63E6784758A642F0AF94AD9B1C041284_13</vt:lpwstr>
  </property>
  <property fmtid="{D5CDD505-2E9C-101B-9397-08002B2CF9AE}" pid="3" name="KSOProductBuildVer">
    <vt:lpwstr>1057-12.2.0.23197</vt:lpwstr>
  </property>
</Properties>
</file>